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hq-gqmxgyl7k3/Downloads/"/>
    </mc:Choice>
  </mc:AlternateContent>
  <xr:revisionPtr revIDLastSave="0" documentId="8_{E93FAC29-CD33-9641-8305-CB3910C4EEB8}" xr6:coauthVersionLast="47" xr6:coauthVersionMax="47" xr10:uidLastSave="{00000000-0000-0000-0000-000000000000}"/>
  <bookViews>
    <workbookView xWindow="0" yWindow="660" windowWidth="29400" windowHeight="16760" activeTab="1" xr2:uid="{00000000-000D-0000-FFFF-FFFF00000000}"/>
  </bookViews>
  <sheets>
    <sheet name="свод" sheetId="3" r:id="rId1"/>
    <sheet name="Эталоны" sheetId="1" r:id="rId2"/>
  </sheets>
  <definedNames>
    <definedName name="_xlnm._FilterDatabase" localSheetId="1" hidden="1">Эталоны!$A$1:$X$1135</definedName>
  </definedNames>
  <calcPr calcId="191029"/>
  <pivotCaches>
    <pivotCache cacheId="53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9" i="1" l="1"/>
  <c r="R809" i="1"/>
  <c r="Q809" i="1"/>
  <c r="S804" i="1"/>
  <c r="R804" i="1"/>
  <c r="Q804" i="1"/>
  <c r="S723" i="1"/>
  <c r="R723" i="1"/>
  <c r="Q723" i="1"/>
  <c r="S654" i="1"/>
  <c r="R654" i="1"/>
  <c r="Q654" i="1"/>
  <c r="S622" i="1"/>
  <c r="R622" i="1"/>
  <c r="Q622" i="1"/>
  <c r="S621" i="1"/>
  <c r="R621" i="1"/>
  <c r="Q621" i="1"/>
  <c r="S586" i="1"/>
  <c r="R586" i="1"/>
  <c r="Q586" i="1"/>
  <c r="S583" i="1"/>
  <c r="R583" i="1"/>
  <c r="Q583" i="1"/>
  <c r="S579" i="1"/>
  <c r="R579" i="1"/>
  <c r="Q579" i="1"/>
  <c r="S576" i="1"/>
  <c r="R576" i="1"/>
  <c r="Q576" i="1"/>
  <c r="S537" i="1"/>
  <c r="R537" i="1"/>
  <c r="Q537" i="1"/>
  <c r="S524" i="1"/>
  <c r="R524" i="1"/>
  <c r="Q524" i="1"/>
  <c r="S522" i="1"/>
  <c r="R522" i="1"/>
  <c r="Q522" i="1"/>
  <c r="S441" i="1"/>
  <c r="R441" i="1"/>
  <c r="Q441" i="1"/>
  <c r="S435" i="1"/>
  <c r="R435" i="1"/>
  <c r="Q435" i="1"/>
  <c r="S229" i="1"/>
  <c r="R229" i="1"/>
  <c r="Q229" i="1"/>
  <c r="S178" i="1"/>
  <c r="R178" i="1"/>
  <c r="Q178" i="1"/>
  <c r="S93" i="1"/>
  <c r="R93" i="1"/>
  <c r="Q93" i="1"/>
  <c r="S92" i="1"/>
  <c r="R92" i="1"/>
  <c r="Q92" i="1"/>
  <c r="S79" i="1"/>
  <c r="R79" i="1"/>
  <c r="Q79" i="1"/>
  <c r="S75" i="1"/>
  <c r="R75" i="1"/>
  <c r="Q75" i="1"/>
  <c r="Q4" i="1"/>
  <c r="S747" i="1"/>
  <c r="R747" i="1"/>
  <c r="Q747" i="1"/>
  <c r="S746" i="1"/>
  <c r="R746" i="1"/>
  <c r="Q746" i="1"/>
  <c r="S871" i="1"/>
  <c r="R871" i="1"/>
  <c r="Q871" i="1"/>
  <c r="S870" i="1"/>
  <c r="R870" i="1"/>
  <c r="Q870" i="1"/>
  <c r="S121" i="1"/>
  <c r="R121" i="1"/>
  <c r="Q121" i="1"/>
  <c r="S254" i="1"/>
  <c r="R254" i="1"/>
  <c r="Q254" i="1"/>
  <c r="S253" i="1"/>
  <c r="R253" i="1"/>
  <c r="Q253" i="1"/>
  <c r="S338" i="1"/>
  <c r="R338" i="1"/>
  <c r="Q338" i="1"/>
  <c r="S869" i="1"/>
  <c r="R869" i="1"/>
  <c r="Q869" i="1"/>
  <c r="S28" i="1"/>
  <c r="R28" i="1"/>
  <c r="Q28" i="1"/>
  <c r="S868" i="1"/>
  <c r="R868" i="1"/>
  <c r="Q868" i="1"/>
  <c r="S867" i="1"/>
  <c r="R867" i="1"/>
  <c r="Q867" i="1"/>
  <c r="S114" i="1"/>
  <c r="R114" i="1"/>
  <c r="Q114" i="1"/>
  <c r="S176" i="1"/>
  <c r="R176" i="1"/>
  <c r="Q176" i="1"/>
  <c r="S270" i="1"/>
  <c r="R270" i="1"/>
  <c r="Q270" i="1"/>
  <c r="S269" i="1"/>
  <c r="R269" i="1"/>
  <c r="Q269" i="1"/>
  <c r="S268" i="1"/>
  <c r="R268" i="1"/>
  <c r="Q268" i="1"/>
  <c r="S267" i="1"/>
  <c r="R267" i="1"/>
  <c r="Q267" i="1"/>
  <c r="S745" i="1"/>
  <c r="R745" i="1"/>
  <c r="Q745" i="1"/>
  <c r="S744" i="1"/>
  <c r="R744" i="1"/>
  <c r="Q744" i="1"/>
  <c r="S743" i="1"/>
  <c r="R743" i="1"/>
  <c r="Q743" i="1"/>
  <c r="S742" i="1"/>
  <c r="R742" i="1"/>
  <c r="Q742" i="1"/>
  <c r="S741" i="1"/>
  <c r="R741" i="1"/>
  <c r="Q741" i="1"/>
  <c r="S740" i="1"/>
  <c r="R740" i="1"/>
  <c r="Q740" i="1"/>
  <c r="S539" i="1"/>
  <c r="R539" i="1"/>
  <c r="Q539" i="1"/>
  <c r="S738" i="1"/>
  <c r="R738" i="1"/>
  <c r="Q738" i="1"/>
  <c r="S737" i="1"/>
  <c r="R737" i="1"/>
  <c r="Q737" i="1"/>
  <c r="S736" i="1"/>
  <c r="R736" i="1"/>
  <c r="Q736" i="1"/>
  <c r="S735" i="1"/>
  <c r="R735" i="1"/>
  <c r="Q735" i="1"/>
  <c r="S734" i="1"/>
  <c r="R734" i="1"/>
  <c r="Q734" i="1"/>
  <c r="S733" i="1"/>
  <c r="R733" i="1"/>
  <c r="Q733" i="1"/>
  <c r="S732" i="1"/>
  <c r="R732" i="1"/>
  <c r="Q732" i="1"/>
  <c r="S731" i="1"/>
  <c r="R731" i="1"/>
  <c r="Q731" i="1"/>
  <c r="S289" i="1"/>
  <c r="R289" i="1"/>
  <c r="Q289" i="1"/>
  <c r="S730" i="1"/>
  <c r="R730" i="1"/>
  <c r="Q730" i="1"/>
  <c r="S251" i="1"/>
  <c r="R251" i="1"/>
  <c r="Q251" i="1"/>
  <c r="S23" i="1"/>
  <c r="R23" i="1"/>
  <c r="Q23" i="1"/>
  <c r="S729" i="1"/>
  <c r="R729" i="1"/>
  <c r="Q729" i="1"/>
  <c r="S175" i="1"/>
  <c r="R175" i="1"/>
  <c r="Q175" i="1"/>
  <c r="S337" i="1"/>
  <c r="R337" i="1"/>
  <c r="Q337" i="1"/>
  <c r="S728" i="1"/>
  <c r="R728" i="1"/>
  <c r="Q728" i="1"/>
  <c r="S727" i="1"/>
  <c r="R727" i="1"/>
  <c r="Q727" i="1"/>
  <c r="S726" i="1"/>
  <c r="R726" i="1"/>
  <c r="Q726" i="1"/>
  <c r="S725" i="1"/>
  <c r="R725" i="1"/>
  <c r="Q725" i="1"/>
  <c r="S724" i="1"/>
  <c r="R724" i="1"/>
  <c r="Q724" i="1"/>
  <c r="S336" i="1"/>
  <c r="R336" i="1"/>
  <c r="Q336" i="1"/>
  <c r="S844" i="1"/>
  <c r="R844" i="1"/>
  <c r="Q844" i="1"/>
  <c r="S722" i="1"/>
  <c r="R722" i="1"/>
  <c r="Q722" i="1"/>
  <c r="S807" i="1"/>
  <c r="R807" i="1"/>
  <c r="Q807" i="1"/>
  <c r="S252" i="1"/>
  <c r="R252" i="1"/>
  <c r="Q252" i="1"/>
  <c r="S718" i="1"/>
  <c r="R718" i="1"/>
  <c r="Q718" i="1"/>
  <c r="S717" i="1"/>
  <c r="R717" i="1"/>
  <c r="Q717" i="1"/>
  <c r="S991" i="1"/>
  <c r="R991" i="1"/>
  <c r="Q991" i="1"/>
  <c r="S228" i="1"/>
  <c r="R228" i="1"/>
  <c r="Q228" i="1"/>
  <c r="S820" i="1"/>
  <c r="R820" i="1"/>
  <c r="Q820" i="1"/>
  <c r="S715" i="1"/>
  <c r="R715" i="1"/>
  <c r="Q715" i="1"/>
  <c r="S714" i="1"/>
  <c r="R714" i="1"/>
  <c r="Q714" i="1"/>
  <c r="S713" i="1"/>
  <c r="R713" i="1"/>
  <c r="Q713" i="1"/>
  <c r="S712" i="1"/>
  <c r="R712" i="1"/>
  <c r="Q712" i="1"/>
  <c r="S711" i="1"/>
  <c r="R711" i="1"/>
  <c r="Q711" i="1"/>
  <c r="S710" i="1"/>
  <c r="R710" i="1"/>
  <c r="Q710" i="1"/>
  <c r="S709" i="1"/>
  <c r="R709" i="1"/>
  <c r="Q709" i="1"/>
  <c r="S334" i="1"/>
  <c r="R334" i="1"/>
  <c r="Q334" i="1"/>
  <c r="S708" i="1"/>
  <c r="R708" i="1"/>
  <c r="Q708" i="1"/>
  <c r="S819" i="1"/>
  <c r="R819" i="1"/>
  <c r="Q819" i="1"/>
  <c r="S707" i="1"/>
  <c r="R707" i="1"/>
  <c r="Q707" i="1"/>
  <c r="S333" i="1"/>
  <c r="R333" i="1"/>
  <c r="Q333" i="1"/>
  <c r="S706" i="1"/>
  <c r="R706" i="1"/>
  <c r="Q706" i="1"/>
  <c r="S704" i="1"/>
  <c r="R704" i="1"/>
  <c r="Q704" i="1"/>
  <c r="S703" i="1"/>
  <c r="R703" i="1"/>
  <c r="Q703" i="1"/>
  <c r="S701" i="1"/>
  <c r="R701" i="1"/>
  <c r="Q701" i="1"/>
  <c r="S699" i="1"/>
  <c r="R699" i="1"/>
  <c r="Q699" i="1"/>
  <c r="S698" i="1"/>
  <c r="R698" i="1"/>
  <c r="Q698" i="1"/>
  <c r="S697" i="1"/>
  <c r="R697" i="1"/>
  <c r="Q697" i="1"/>
  <c r="S192" i="1"/>
  <c r="R192" i="1"/>
  <c r="Q192" i="1"/>
  <c r="S424" i="1"/>
  <c r="R424" i="1"/>
  <c r="Q424" i="1"/>
  <c r="S695" i="1"/>
  <c r="R695" i="1"/>
  <c r="Q695" i="1"/>
  <c r="S694" i="1"/>
  <c r="R694" i="1"/>
  <c r="Q694" i="1"/>
  <c r="S449" i="1"/>
  <c r="R449" i="1"/>
  <c r="Q449" i="1"/>
  <c r="S250" i="1"/>
  <c r="R250" i="1"/>
  <c r="Q250" i="1"/>
  <c r="S693" i="1"/>
  <c r="R693" i="1"/>
  <c r="Q693" i="1"/>
  <c r="S692" i="1"/>
  <c r="R692" i="1"/>
  <c r="Q692" i="1"/>
  <c r="S691" i="1"/>
  <c r="R691" i="1"/>
  <c r="Q691" i="1"/>
  <c r="S113" i="1"/>
  <c r="R113" i="1"/>
  <c r="Q113" i="1"/>
  <c r="S690" i="1"/>
  <c r="R690" i="1"/>
  <c r="Q690" i="1"/>
  <c r="S428" i="1"/>
  <c r="R428" i="1"/>
  <c r="Q428" i="1"/>
  <c r="S689" i="1"/>
  <c r="R689" i="1"/>
  <c r="Q689" i="1"/>
  <c r="S688" i="1"/>
  <c r="R688" i="1"/>
  <c r="Q688" i="1"/>
  <c r="S687" i="1"/>
  <c r="R687" i="1"/>
  <c r="Q687" i="1"/>
  <c r="S686" i="1"/>
  <c r="R686" i="1"/>
  <c r="Q686" i="1"/>
  <c r="S685" i="1"/>
  <c r="R685" i="1"/>
  <c r="Q685" i="1"/>
  <c r="S248" i="1"/>
  <c r="R248" i="1"/>
  <c r="Q248" i="1"/>
  <c r="S684" i="1"/>
  <c r="R684" i="1"/>
  <c r="Q684" i="1"/>
  <c r="S328" i="1"/>
  <c r="R328" i="1"/>
  <c r="Q328" i="1"/>
  <c r="S683" i="1"/>
  <c r="R683" i="1"/>
  <c r="Q683" i="1"/>
  <c r="S246" i="1"/>
  <c r="R246" i="1"/>
  <c r="Q246" i="1"/>
  <c r="S682" i="1"/>
  <c r="R682" i="1"/>
  <c r="Q682" i="1"/>
  <c r="S990" i="1"/>
  <c r="R990" i="1"/>
  <c r="Q990" i="1"/>
  <c r="S384" i="1"/>
  <c r="R384" i="1"/>
  <c r="Q384" i="1"/>
  <c r="S679" i="1"/>
  <c r="R679" i="1"/>
  <c r="Q679" i="1"/>
  <c r="S678" i="1"/>
  <c r="R678" i="1"/>
  <c r="Q678" i="1"/>
  <c r="S245" i="1"/>
  <c r="R245" i="1"/>
  <c r="Q245" i="1"/>
  <c r="S542" i="1"/>
  <c r="R542" i="1"/>
  <c r="Q542" i="1"/>
  <c r="S676" i="1"/>
  <c r="R676" i="1"/>
  <c r="Q676" i="1"/>
  <c r="S987" i="1"/>
  <c r="R987" i="1"/>
  <c r="Q987" i="1"/>
  <c r="S332" i="1"/>
  <c r="R332" i="1"/>
  <c r="Q332" i="1"/>
  <c r="S674" i="1"/>
  <c r="R674" i="1"/>
  <c r="Q674" i="1"/>
  <c r="S100" i="1"/>
  <c r="R100" i="1"/>
  <c r="Q100" i="1"/>
  <c r="S843" i="1"/>
  <c r="R843" i="1"/>
  <c r="Q843" i="1"/>
  <c r="S672" i="1"/>
  <c r="R672" i="1"/>
  <c r="Q672" i="1"/>
  <c r="S670" i="1"/>
  <c r="R670" i="1"/>
  <c r="Q670" i="1"/>
  <c r="S221" i="1"/>
  <c r="R221" i="1"/>
  <c r="Q221" i="1"/>
  <c r="S986" i="1"/>
  <c r="R986" i="1"/>
  <c r="Q986" i="1"/>
  <c r="S408" i="1"/>
  <c r="R408" i="1"/>
  <c r="Q408" i="1"/>
  <c r="S666" i="1"/>
  <c r="R666" i="1"/>
  <c r="Q666" i="1"/>
  <c r="S665" i="1"/>
  <c r="R665" i="1"/>
  <c r="Q665" i="1"/>
  <c r="S161" i="1"/>
  <c r="R161" i="1"/>
  <c r="Q161" i="1"/>
  <c r="S985" i="1"/>
  <c r="R985" i="1"/>
  <c r="Q985" i="1"/>
  <c r="S663" i="1"/>
  <c r="R663" i="1"/>
  <c r="Q663" i="1"/>
  <c r="S662" i="1"/>
  <c r="R662" i="1"/>
  <c r="Q662" i="1"/>
  <c r="S661" i="1"/>
  <c r="R661" i="1"/>
  <c r="Q661" i="1"/>
  <c r="S660" i="1"/>
  <c r="R660" i="1"/>
  <c r="Q660" i="1"/>
  <c r="S42" i="1"/>
  <c r="R42" i="1"/>
  <c r="Q42" i="1"/>
  <c r="S64" i="1"/>
  <c r="R64" i="1"/>
  <c r="Q64" i="1"/>
  <c r="S980" i="1"/>
  <c r="R980" i="1"/>
  <c r="Q980" i="1"/>
  <c r="S979" i="1"/>
  <c r="R979" i="1"/>
  <c r="Q979" i="1"/>
  <c r="S655" i="1"/>
  <c r="R655" i="1"/>
  <c r="Q655" i="1"/>
  <c r="S978" i="1"/>
  <c r="R978" i="1"/>
  <c r="Q978" i="1"/>
  <c r="S652" i="1"/>
  <c r="R652" i="1"/>
  <c r="Q652" i="1"/>
  <c r="S651" i="1"/>
  <c r="R651" i="1"/>
  <c r="Q651" i="1"/>
  <c r="S649" i="1"/>
  <c r="R649" i="1"/>
  <c r="Q649" i="1"/>
  <c r="S607" i="1"/>
  <c r="R607" i="1"/>
  <c r="Q607" i="1"/>
  <c r="S648" i="1"/>
  <c r="R648" i="1"/>
  <c r="Q648" i="1"/>
  <c r="S977" i="1"/>
  <c r="R977" i="1"/>
  <c r="Q977" i="1"/>
  <c r="S976" i="1"/>
  <c r="R976" i="1"/>
  <c r="Q976" i="1"/>
  <c r="S645" i="1"/>
  <c r="R645" i="1"/>
  <c r="Q645" i="1"/>
  <c r="S301" i="1"/>
  <c r="R301" i="1"/>
  <c r="Q301" i="1"/>
  <c r="S842" i="1"/>
  <c r="R842" i="1"/>
  <c r="Q842" i="1"/>
  <c r="S644" i="1"/>
  <c r="R644" i="1"/>
  <c r="Q644" i="1"/>
  <c r="S587" i="1"/>
  <c r="R587" i="1"/>
  <c r="Q587" i="1"/>
  <c r="S642" i="1"/>
  <c r="R642" i="1"/>
  <c r="Q642" i="1"/>
  <c r="S641" i="1"/>
  <c r="R641" i="1"/>
  <c r="Q641" i="1"/>
  <c r="S640" i="1"/>
  <c r="R640" i="1"/>
  <c r="Q640" i="1"/>
  <c r="S639" i="1"/>
  <c r="R639" i="1"/>
  <c r="Q639" i="1"/>
  <c r="S638" i="1"/>
  <c r="R638" i="1"/>
  <c r="Q638" i="1"/>
  <c r="S637" i="1"/>
  <c r="R637" i="1"/>
  <c r="Q637" i="1"/>
  <c r="S635" i="1"/>
  <c r="R635" i="1"/>
  <c r="Q635" i="1"/>
  <c r="S12" i="1"/>
  <c r="R12" i="1"/>
  <c r="Q12" i="1"/>
  <c r="S634" i="1"/>
  <c r="R634" i="1"/>
  <c r="Q634" i="1"/>
  <c r="S633" i="1"/>
  <c r="R633" i="1"/>
  <c r="Q633" i="1"/>
  <c r="S632" i="1"/>
  <c r="R632" i="1"/>
  <c r="Q632" i="1"/>
  <c r="S631" i="1"/>
  <c r="R631" i="1"/>
  <c r="Q631" i="1"/>
  <c r="S596" i="1"/>
  <c r="R596" i="1"/>
  <c r="Q596" i="1"/>
  <c r="S975" i="1"/>
  <c r="R975" i="1"/>
  <c r="Q975" i="1"/>
  <c r="S814" i="1"/>
  <c r="R814" i="1"/>
  <c r="Q814" i="1"/>
  <c r="S564" i="1"/>
  <c r="R564" i="1"/>
  <c r="Q564" i="1"/>
  <c r="S812" i="1"/>
  <c r="R812" i="1"/>
  <c r="Q812" i="1"/>
  <c r="S222" i="1"/>
  <c r="R222" i="1"/>
  <c r="Q222" i="1"/>
  <c r="S231" i="1"/>
  <c r="R231" i="1"/>
  <c r="Q231" i="1"/>
  <c r="S162" i="1"/>
  <c r="R162" i="1"/>
  <c r="Q162" i="1"/>
  <c r="S739" i="1"/>
  <c r="R739" i="1"/>
  <c r="Q739" i="1"/>
  <c r="S615" i="1"/>
  <c r="R615" i="1"/>
  <c r="Q615" i="1"/>
  <c r="S602" i="1"/>
  <c r="R602" i="1"/>
  <c r="Q602" i="1"/>
  <c r="S545" i="1"/>
  <c r="R545" i="1"/>
  <c r="Q545" i="1"/>
  <c r="S624" i="1"/>
  <c r="R624" i="1"/>
  <c r="Q624" i="1"/>
  <c r="S974" i="1"/>
  <c r="R974" i="1"/>
  <c r="Q974" i="1"/>
  <c r="S716" i="1"/>
  <c r="R716" i="1"/>
  <c r="Q716" i="1"/>
  <c r="S616" i="1"/>
  <c r="R616" i="1"/>
  <c r="Q616" i="1"/>
  <c r="S805" i="1"/>
  <c r="R805" i="1"/>
  <c r="Q805" i="1"/>
  <c r="S516" i="1"/>
  <c r="R516" i="1"/>
  <c r="Q516" i="1"/>
  <c r="S668" i="1"/>
  <c r="R668" i="1"/>
  <c r="Q668" i="1"/>
  <c r="S438" i="1"/>
  <c r="R438" i="1"/>
  <c r="Q438" i="1"/>
  <c r="S530" i="1"/>
  <c r="R530" i="1"/>
  <c r="Q530" i="1"/>
  <c r="S330" i="1"/>
  <c r="R330" i="1"/>
  <c r="Q330" i="1"/>
  <c r="S620" i="1"/>
  <c r="R620" i="1"/>
  <c r="Q620" i="1"/>
  <c r="S249" i="1"/>
  <c r="R249" i="1"/>
  <c r="Q249" i="1"/>
  <c r="S555" i="1"/>
  <c r="R555" i="1"/>
  <c r="Q555" i="1"/>
  <c r="S973" i="1"/>
  <c r="R973" i="1"/>
  <c r="Q973" i="1"/>
  <c r="S567" i="1"/>
  <c r="R567" i="1"/>
  <c r="Q567" i="1"/>
  <c r="S972" i="1"/>
  <c r="R972" i="1"/>
  <c r="Q972" i="1"/>
  <c r="S151" i="1"/>
  <c r="R151" i="1"/>
  <c r="Q151" i="1"/>
  <c r="S89" i="1"/>
  <c r="R89" i="1"/>
  <c r="Q89" i="1"/>
  <c r="S971" i="1"/>
  <c r="R971" i="1"/>
  <c r="Q971" i="1"/>
  <c r="S219" i="1"/>
  <c r="R219" i="1"/>
  <c r="Q219" i="1"/>
  <c r="S970" i="1"/>
  <c r="R970" i="1"/>
  <c r="Q970" i="1"/>
  <c r="S515" i="1"/>
  <c r="R515" i="1"/>
  <c r="Q515" i="1"/>
  <c r="S293" i="1"/>
  <c r="R293" i="1"/>
  <c r="Q293" i="1"/>
  <c r="S623" i="1"/>
  <c r="R623" i="1"/>
  <c r="Q623" i="1"/>
  <c r="S156" i="1"/>
  <c r="R156" i="1"/>
  <c r="Q156" i="1"/>
  <c r="S802" i="1"/>
  <c r="R802" i="1"/>
  <c r="Q802" i="1"/>
  <c r="S606" i="1"/>
  <c r="R606" i="1"/>
  <c r="Q606" i="1"/>
  <c r="S235" i="1"/>
  <c r="R235" i="1"/>
  <c r="Q235" i="1"/>
  <c r="S969" i="1"/>
  <c r="R969" i="1"/>
  <c r="Q969" i="1"/>
  <c r="S549" i="1"/>
  <c r="R549" i="1"/>
  <c r="Q549" i="1"/>
  <c r="S964" i="1"/>
  <c r="R964" i="1"/>
  <c r="Q964" i="1"/>
  <c r="S603" i="1"/>
  <c r="R603" i="1"/>
  <c r="Q603" i="1"/>
  <c r="S962" i="1"/>
  <c r="R962" i="1"/>
  <c r="Q962" i="1"/>
  <c r="S815" i="1"/>
  <c r="R815" i="1"/>
  <c r="Q815" i="1"/>
  <c r="S565" i="1"/>
  <c r="R565" i="1"/>
  <c r="Q565" i="1"/>
  <c r="S570" i="1"/>
  <c r="R570" i="1"/>
  <c r="Q570" i="1"/>
  <c r="S696" i="1"/>
  <c r="R696" i="1"/>
  <c r="Q696" i="1"/>
  <c r="S719" i="1"/>
  <c r="R719" i="1"/>
  <c r="Q719" i="1"/>
  <c r="S240" i="1"/>
  <c r="R240" i="1"/>
  <c r="Q240" i="1"/>
  <c r="S430" i="1"/>
  <c r="R430" i="1"/>
  <c r="Q430" i="1"/>
  <c r="S946" i="1"/>
  <c r="R946" i="1"/>
  <c r="Q946" i="1"/>
  <c r="S945" i="1"/>
  <c r="R945" i="1"/>
  <c r="Q945" i="1"/>
  <c r="S593" i="1"/>
  <c r="R593" i="1"/>
  <c r="Q593" i="1"/>
  <c r="S667" i="1"/>
  <c r="R667" i="1"/>
  <c r="Q667" i="1"/>
  <c r="S518" i="1"/>
  <c r="R518" i="1"/>
  <c r="Q518" i="1"/>
  <c r="S385" i="1"/>
  <c r="R385" i="1"/>
  <c r="Q385" i="1"/>
  <c r="S247" i="1"/>
  <c r="R247" i="1"/>
  <c r="Q247" i="1"/>
  <c r="S773" i="1"/>
  <c r="R773" i="1"/>
  <c r="Q773" i="1"/>
  <c r="S659" i="1"/>
  <c r="R659" i="1"/>
  <c r="Q659" i="1"/>
  <c r="S944" i="1"/>
  <c r="R944" i="1"/>
  <c r="Q944" i="1"/>
  <c r="S577" i="1"/>
  <c r="R577" i="1"/>
  <c r="Q577" i="1"/>
  <c r="S572" i="1"/>
  <c r="R572" i="1"/>
  <c r="Q572" i="1"/>
  <c r="S943" i="1"/>
  <c r="R943" i="1"/>
  <c r="Q943" i="1"/>
  <c r="S329" i="1"/>
  <c r="R329" i="1"/>
  <c r="Q329" i="1"/>
  <c r="S190" i="1"/>
  <c r="R190" i="1"/>
  <c r="Q190" i="1"/>
  <c r="S942" i="1"/>
  <c r="R942" i="1"/>
  <c r="Q942" i="1"/>
  <c r="S88" i="1"/>
  <c r="R88" i="1"/>
  <c r="Q88" i="1"/>
  <c r="S561" i="1"/>
  <c r="R561" i="1"/>
  <c r="Q561" i="1"/>
  <c r="S811" i="1"/>
  <c r="R811" i="1"/>
  <c r="Q811" i="1"/>
  <c r="S591" i="1"/>
  <c r="R591" i="1"/>
  <c r="Q591" i="1"/>
  <c r="S671" i="1"/>
  <c r="R671" i="1"/>
  <c r="Q671" i="1"/>
  <c r="S628" i="1"/>
  <c r="R628" i="1"/>
  <c r="Q628" i="1"/>
  <c r="S130" i="1"/>
  <c r="R130" i="1"/>
  <c r="Q130" i="1"/>
  <c r="S828" i="1"/>
  <c r="R828" i="1"/>
  <c r="Q828" i="1"/>
  <c r="S326" i="1"/>
  <c r="R326" i="1"/>
  <c r="Q326" i="1"/>
  <c r="S940" i="1"/>
  <c r="R940" i="1"/>
  <c r="Q940" i="1"/>
  <c r="S427" i="1"/>
  <c r="R427" i="1"/>
  <c r="Q427" i="1"/>
  <c r="S595" i="1"/>
  <c r="R595" i="1"/>
  <c r="Q595" i="1"/>
  <c r="S368" i="1"/>
  <c r="R368" i="1"/>
  <c r="Q368" i="1"/>
  <c r="S629" i="1"/>
  <c r="R629" i="1"/>
  <c r="Q629" i="1"/>
  <c r="S795" i="1"/>
  <c r="R795" i="1"/>
  <c r="Q795" i="1"/>
  <c r="S827" i="1"/>
  <c r="R827" i="1"/>
  <c r="Q827" i="1"/>
  <c r="S939" i="1"/>
  <c r="R939" i="1"/>
  <c r="Q939" i="1"/>
  <c r="S573" i="1"/>
  <c r="R573" i="1"/>
  <c r="Q573" i="1"/>
  <c r="S601" i="1"/>
  <c r="R601" i="1"/>
  <c r="Q601" i="1"/>
  <c r="S938" i="1"/>
  <c r="R938" i="1"/>
  <c r="Q938" i="1"/>
  <c r="S610" i="1"/>
  <c r="R610" i="1"/>
  <c r="Q610" i="1"/>
  <c r="S244" i="1"/>
  <c r="R244" i="1"/>
  <c r="Q244" i="1"/>
  <c r="S936" i="1"/>
  <c r="R936" i="1"/>
  <c r="Q936" i="1"/>
  <c r="S569" i="1"/>
  <c r="R569" i="1"/>
  <c r="Q569" i="1"/>
  <c r="S568" i="1"/>
  <c r="R568" i="1"/>
  <c r="Q568" i="1"/>
  <c r="S585" i="1"/>
  <c r="R585" i="1"/>
  <c r="Q585" i="1"/>
  <c r="S702" i="1"/>
  <c r="R702" i="1"/>
  <c r="Q702" i="1"/>
  <c r="S566" i="1"/>
  <c r="R566" i="1"/>
  <c r="Q566" i="1"/>
  <c r="S425" i="1"/>
  <c r="R425" i="1"/>
  <c r="Q425" i="1"/>
  <c r="S935" i="1"/>
  <c r="R935" i="1"/>
  <c r="Q935" i="1"/>
  <c r="S510" i="1"/>
  <c r="R510" i="1"/>
  <c r="Q510" i="1"/>
  <c r="S817" i="1"/>
  <c r="R817" i="1"/>
  <c r="Q817" i="1"/>
  <c r="S15" i="1"/>
  <c r="R15" i="1"/>
  <c r="Q15" i="1"/>
  <c r="S926" i="1"/>
  <c r="R926" i="1"/>
  <c r="Q926" i="1"/>
  <c r="S513" i="1"/>
  <c r="R513" i="1"/>
  <c r="Q513" i="1"/>
  <c r="S216" i="1"/>
  <c r="R216" i="1"/>
  <c r="Q216" i="1"/>
  <c r="S87" i="1"/>
  <c r="R87" i="1"/>
  <c r="Q87" i="1"/>
  <c r="S535" i="1"/>
  <c r="R535" i="1"/>
  <c r="Q535" i="1"/>
  <c r="S232" i="1"/>
  <c r="R232" i="1"/>
  <c r="Q232" i="1"/>
  <c r="S925" i="1"/>
  <c r="R925" i="1"/>
  <c r="Q925" i="1"/>
  <c r="S527" i="1"/>
  <c r="R527" i="1"/>
  <c r="Q527" i="1"/>
  <c r="S83" i="1"/>
  <c r="R83" i="1"/>
  <c r="Q83" i="1"/>
  <c r="S924" i="1"/>
  <c r="R924" i="1"/>
  <c r="Q924" i="1"/>
  <c r="S431" i="1"/>
  <c r="R431" i="1"/>
  <c r="Q431" i="1"/>
  <c r="S575" i="1"/>
  <c r="R575" i="1"/>
  <c r="Q575" i="1"/>
  <c r="S584" i="1"/>
  <c r="R584" i="1"/>
  <c r="Q584" i="1"/>
  <c r="S560" i="1"/>
  <c r="R560" i="1"/>
  <c r="Q560" i="1"/>
  <c r="S559" i="1"/>
  <c r="R559" i="1"/>
  <c r="Q559" i="1"/>
  <c r="S677" i="1"/>
  <c r="R677" i="1"/>
  <c r="Q677" i="1"/>
  <c r="S923" i="1"/>
  <c r="R923" i="1"/>
  <c r="Q923" i="1"/>
  <c r="S922" i="1"/>
  <c r="R922" i="1"/>
  <c r="Q922" i="1"/>
  <c r="S921" i="1"/>
  <c r="R921" i="1"/>
  <c r="Q921" i="1"/>
  <c r="S153" i="1"/>
  <c r="R153" i="1"/>
  <c r="Q153" i="1"/>
  <c r="S920" i="1"/>
  <c r="R920" i="1"/>
  <c r="Q920" i="1"/>
  <c r="S532" i="1"/>
  <c r="R532" i="1"/>
  <c r="Q532" i="1"/>
  <c r="S806" i="1"/>
  <c r="R806" i="1"/>
  <c r="Q806" i="1"/>
  <c r="S799" i="1"/>
  <c r="R799" i="1"/>
  <c r="Q799" i="1"/>
  <c r="S658" i="1"/>
  <c r="R658" i="1"/>
  <c r="Q658" i="1"/>
  <c r="S210" i="1"/>
  <c r="R210" i="1"/>
  <c r="Q210" i="1"/>
  <c r="S919" i="1"/>
  <c r="R919" i="1"/>
  <c r="Q919" i="1"/>
  <c r="S918" i="1"/>
  <c r="R918" i="1"/>
  <c r="Q918" i="1"/>
  <c r="S657" i="1"/>
  <c r="R657" i="1"/>
  <c r="Q657" i="1"/>
  <c r="S213" i="1"/>
  <c r="R213" i="1"/>
  <c r="Q213" i="1"/>
  <c r="S383" i="1"/>
  <c r="R383" i="1"/>
  <c r="Q383" i="1"/>
  <c r="S720" i="1"/>
  <c r="R720" i="1"/>
  <c r="Q720" i="1"/>
  <c r="S816" i="1"/>
  <c r="R816" i="1"/>
  <c r="Q816" i="1"/>
  <c r="S917" i="1"/>
  <c r="R917" i="1"/>
  <c r="Q917" i="1"/>
  <c r="S614" i="1"/>
  <c r="R614" i="1"/>
  <c r="Q614" i="1"/>
  <c r="S673" i="1"/>
  <c r="R673" i="1"/>
  <c r="Q673" i="1"/>
  <c r="S194" i="1"/>
  <c r="R194" i="1"/>
  <c r="Q194" i="1"/>
  <c r="S636" i="1"/>
  <c r="R636" i="1"/>
  <c r="Q636" i="1"/>
  <c r="S452" i="1"/>
  <c r="R452" i="1"/>
  <c r="Q452" i="1"/>
  <c r="S544" i="1"/>
  <c r="R544" i="1"/>
  <c r="Q544" i="1"/>
  <c r="S543" i="1"/>
  <c r="R543" i="1"/>
  <c r="Q543" i="1"/>
  <c r="S826" i="1"/>
  <c r="R826" i="1"/>
  <c r="Q826" i="1"/>
  <c r="S208" i="1"/>
  <c r="R208" i="1"/>
  <c r="Q208" i="1"/>
  <c r="S540" i="1"/>
  <c r="R540" i="1"/>
  <c r="Q540" i="1"/>
  <c r="S299" i="1"/>
  <c r="R299" i="1"/>
  <c r="Q299" i="1"/>
  <c r="S382" i="1"/>
  <c r="R382" i="1"/>
  <c r="Q382" i="1"/>
  <c r="S772" i="1"/>
  <c r="R772" i="1"/>
  <c r="Q772" i="1"/>
  <c r="S406" i="1"/>
  <c r="R406" i="1"/>
  <c r="Q406" i="1"/>
  <c r="S234" i="1"/>
  <c r="R234" i="1"/>
  <c r="Q234" i="1"/>
  <c r="S538" i="1"/>
  <c r="R538" i="1"/>
  <c r="Q538" i="1"/>
  <c r="S916" i="1"/>
  <c r="R916" i="1"/>
  <c r="Q916" i="1"/>
  <c r="S803" i="1"/>
  <c r="R803" i="1"/>
  <c r="Q803" i="1"/>
  <c r="S771" i="1"/>
  <c r="R771" i="1"/>
  <c r="Q771" i="1"/>
  <c r="S618" i="1"/>
  <c r="R618" i="1"/>
  <c r="Q618" i="1"/>
  <c r="S600" i="1"/>
  <c r="R600" i="1"/>
  <c r="Q600" i="1"/>
  <c r="S664" i="1"/>
  <c r="R664" i="1"/>
  <c r="Q664" i="1"/>
  <c r="S514" i="1"/>
  <c r="R514" i="1"/>
  <c r="Q514" i="1"/>
  <c r="S531" i="1"/>
  <c r="R531" i="1"/>
  <c r="Q531" i="1"/>
  <c r="S597" i="1"/>
  <c r="R597" i="1"/>
  <c r="Q597" i="1"/>
  <c r="S798" i="1"/>
  <c r="R798" i="1"/>
  <c r="Q798" i="1"/>
  <c r="S529" i="1"/>
  <c r="R529" i="1"/>
  <c r="Q529" i="1"/>
  <c r="S915" i="1"/>
  <c r="R915" i="1"/>
  <c r="Q915" i="1"/>
  <c r="S721" i="1"/>
  <c r="R721" i="1"/>
  <c r="Q721" i="1"/>
  <c r="S909" i="1"/>
  <c r="R909" i="1"/>
  <c r="Q909" i="1"/>
  <c r="S653" i="1"/>
  <c r="R653" i="1"/>
  <c r="Q653" i="1"/>
  <c r="S557" i="1"/>
  <c r="R557" i="1"/>
  <c r="Q557" i="1"/>
  <c r="S775" i="1"/>
  <c r="R775" i="1"/>
  <c r="Q775" i="1"/>
  <c r="S801" i="1"/>
  <c r="R801" i="1"/>
  <c r="Q801" i="1"/>
  <c r="S525" i="1"/>
  <c r="R525" i="1"/>
  <c r="Q525" i="1"/>
  <c r="S238" i="1"/>
  <c r="R238" i="1"/>
  <c r="Q238" i="1"/>
  <c r="S813" i="1"/>
  <c r="R813" i="1"/>
  <c r="Q813" i="1"/>
  <c r="S908" i="1"/>
  <c r="R908" i="1"/>
  <c r="Q908" i="1"/>
  <c r="S594" i="1"/>
  <c r="R594" i="1"/>
  <c r="Q594" i="1"/>
  <c r="S825" i="1"/>
  <c r="R825" i="1"/>
  <c r="Q825" i="1"/>
  <c r="S521" i="1"/>
  <c r="R521" i="1"/>
  <c r="Q521" i="1"/>
  <c r="S82" i="1"/>
  <c r="R82" i="1"/>
  <c r="Q82" i="1"/>
  <c r="S818" i="1"/>
  <c r="R818" i="1"/>
  <c r="Q818" i="1"/>
  <c r="S226" i="1"/>
  <c r="R226" i="1"/>
  <c r="Q226" i="1"/>
  <c r="S824" i="1"/>
  <c r="R824" i="1"/>
  <c r="Q824" i="1"/>
  <c r="S218" i="1"/>
  <c r="R218" i="1"/>
  <c r="Q218" i="1"/>
  <c r="S188" i="1"/>
  <c r="R188" i="1"/>
  <c r="Q188" i="1"/>
  <c r="S215" i="1"/>
  <c r="R215" i="1"/>
  <c r="Q215" i="1"/>
  <c r="S774" i="1"/>
  <c r="R774" i="1"/>
  <c r="Q774" i="1"/>
  <c r="S705" i="1"/>
  <c r="R705" i="1"/>
  <c r="Q705" i="1"/>
  <c r="S426" i="1"/>
  <c r="R426" i="1"/>
  <c r="Q426" i="1"/>
  <c r="S823" i="1"/>
  <c r="R823" i="1"/>
  <c r="Q823" i="1"/>
  <c r="S237" i="1"/>
  <c r="R237" i="1"/>
  <c r="Q237" i="1"/>
  <c r="S105" i="1"/>
  <c r="R105" i="1"/>
  <c r="Q105" i="1"/>
  <c r="S611" i="1"/>
  <c r="R611" i="1"/>
  <c r="Q611" i="1"/>
  <c r="S580" i="1"/>
  <c r="R580" i="1"/>
  <c r="Q580" i="1"/>
  <c r="S906" i="1"/>
  <c r="R906" i="1"/>
  <c r="Q906" i="1"/>
  <c r="S866" i="1"/>
  <c r="R866" i="1"/>
  <c r="Q866" i="1"/>
  <c r="S822" i="1"/>
  <c r="R822" i="1"/>
  <c r="Q822" i="1"/>
  <c r="S520" i="1"/>
  <c r="R520" i="1"/>
  <c r="Q520" i="1"/>
  <c r="S324" i="1"/>
  <c r="R324" i="1"/>
  <c r="Q324" i="1"/>
  <c r="S865" i="1"/>
  <c r="R865" i="1"/>
  <c r="Q865" i="1"/>
  <c r="S512" i="1"/>
  <c r="R512" i="1"/>
  <c r="Q512" i="1"/>
  <c r="S562" i="1"/>
  <c r="R562" i="1"/>
  <c r="Q562" i="1"/>
  <c r="S861" i="1"/>
  <c r="R861" i="1"/>
  <c r="Q861" i="1"/>
  <c r="S519" i="1"/>
  <c r="R519" i="1"/>
  <c r="Q519" i="1"/>
  <c r="S158" i="1"/>
  <c r="R158" i="1"/>
  <c r="Q158" i="1"/>
  <c r="S149" i="1"/>
  <c r="R149" i="1"/>
  <c r="Q149" i="1"/>
  <c r="S9" i="1"/>
  <c r="R9" i="1"/>
  <c r="Q9" i="1"/>
  <c r="S507" i="1"/>
  <c r="R507" i="1"/>
  <c r="Q507" i="1"/>
  <c r="S506" i="1"/>
  <c r="R506" i="1"/>
  <c r="Q506" i="1"/>
  <c r="S505" i="1"/>
  <c r="R505" i="1"/>
  <c r="Q505" i="1"/>
  <c r="S504" i="1"/>
  <c r="R504" i="1"/>
  <c r="Q504" i="1"/>
  <c r="S49" i="1"/>
  <c r="R49" i="1"/>
  <c r="Q49" i="1"/>
  <c r="S204" i="1"/>
  <c r="R204" i="1"/>
  <c r="Q204" i="1"/>
  <c r="S503" i="1"/>
  <c r="R503" i="1"/>
  <c r="Q503" i="1"/>
  <c r="S502" i="1"/>
  <c r="R502" i="1"/>
  <c r="Q502" i="1"/>
  <c r="S322" i="1"/>
  <c r="R322" i="1"/>
  <c r="Q322" i="1"/>
  <c r="S501" i="1"/>
  <c r="R501" i="1"/>
  <c r="Q501" i="1"/>
  <c r="S500" i="1"/>
  <c r="R500" i="1"/>
  <c r="Q500" i="1"/>
  <c r="S499" i="1"/>
  <c r="R499" i="1"/>
  <c r="Q499" i="1"/>
  <c r="S203" i="1"/>
  <c r="R203" i="1"/>
  <c r="Q203" i="1"/>
  <c r="S498" i="1"/>
  <c r="R498" i="1"/>
  <c r="Q498" i="1"/>
  <c r="S497" i="1"/>
  <c r="R497" i="1"/>
  <c r="Q497" i="1"/>
  <c r="S63" i="1"/>
  <c r="R63" i="1"/>
  <c r="Q63" i="1"/>
  <c r="S202" i="1"/>
  <c r="R202" i="1"/>
  <c r="Q202" i="1"/>
  <c r="S18" i="1"/>
  <c r="R18" i="1"/>
  <c r="Q18" i="1"/>
  <c r="S496" i="1"/>
  <c r="R496" i="1"/>
  <c r="Q496" i="1"/>
  <c r="S495" i="1"/>
  <c r="R495" i="1"/>
  <c r="Q495" i="1"/>
  <c r="S958" i="1"/>
  <c r="R958" i="1"/>
  <c r="Q958" i="1"/>
  <c r="S494" i="1"/>
  <c r="R494" i="1"/>
  <c r="Q494" i="1"/>
  <c r="S493" i="1"/>
  <c r="R493" i="1"/>
  <c r="Q493" i="1"/>
  <c r="S999" i="1"/>
  <c r="R999" i="1"/>
  <c r="Q999" i="1"/>
  <c r="S492" i="1"/>
  <c r="R492" i="1"/>
  <c r="Q492" i="1"/>
  <c r="S491" i="1"/>
  <c r="R491" i="1"/>
  <c r="Q491" i="1"/>
  <c r="S490" i="1"/>
  <c r="R490" i="1"/>
  <c r="Q490" i="1"/>
  <c r="S62" i="1"/>
  <c r="R62" i="1"/>
  <c r="Q62" i="1"/>
  <c r="S489" i="1"/>
  <c r="R489" i="1"/>
  <c r="Q489" i="1"/>
  <c r="S17" i="1"/>
  <c r="R17" i="1"/>
  <c r="Q17" i="1"/>
  <c r="S321" i="1"/>
  <c r="R321" i="1"/>
  <c r="Q321" i="1"/>
  <c r="S201" i="1"/>
  <c r="R201" i="1"/>
  <c r="Q201" i="1"/>
  <c r="S957" i="1"/>
  <c r="R957" i="1"/>
  <c r="Q957" i="1"/>
  <c r="S902" i="1"/>
  <c r="R902" i="1"/>
  <c r="Q902" i="1"/>
  <c r="S488" i="1"/>
  <c r="R488" i="1"/>
  <c r="Q488" i="1"/>
  <c r="S320" i="1"/>
  <c r="R320" i="1"/>
  <c r="Q320" i="1"/>
  <c r="S148" i="1"/>
  <c r="R148" i="1"/>
  <c r="Q148" i="1"/>
  <c r="S956" i="1"/>
  <c r="R956" i="1"/>
  <c r="Q956" i="1"/>
  <c r="S357" i="1"/>
  <c r="R357" i="1"/>
  <c r="Q357" i="1"/>
  <c r="S319" i="1"/>
  <c r="R319" i="1"/>
  <c r="Q319" i="1"/>
  <c r="S487" i="1"/>
  <c r="R487" i="1"/>
  <c r="Q487" i="1"/>
  <c r="S901" i="1"/>
  <c r="R901" i="1"/>
  <c r="Q901" i="1"/>
  <c r="S486" i="1"/>
  <c r="R486" i="1"/>
  <c r="Q486" i="1"/>
  <c r="S900" i="1"/>
  <c r="R900" i="1"/>
  <c r="Q900" i="1"/>
  <c r="S485" i="1"/>
  <c r="R485" i="1"/>
  <c r="Q485" i="1"/>
  <c r="S484" i="1"/>
  <c r="R484" i="1"/>
  <c r="Q484" i="1"/>
  <c r="S483" i="1"/>
  <c r="R483" i="1"/>
  <c r="Q483" i="1"/>
  <c r="S899" i="1"/>
  <c r="R899" i="1"/>
  <c r="Q899" i="1"/>
  <c r="S48" i="1"/>
  <c r="R48" i="1"/>
  <c r="Q48" i="1"/>
  <c r="S120" i="1"/>
  <c r="R120" i="1"/>
  <c r="Q120" i="1"/>
  <c r="S482" i="1"/>
  <c r="R482" i="1"/>
  <c r="Q482" i="1"/>
  <c r="S481" i="1"/>
  <c r="R481" i="1"/>
  <c r="Q481" i="1"/>
  <c r="S318" i="1"/>
  <c r="R318" i="1"/>
  <c r="Q318" i="1"/>
  <c r="S13" i="1"/>
  <c r="R13" i="1"/>
  <c r="Q13" i="1"/>
  <c r="S480" i="1"/>
  <c r="R480" i="1"/>
  <c r="Q480" i="1"/>
  <c r="S147" i="1"/>
  <c r="R147" i="1"/>
  <c r="Q147" i="1"/>
  <c r="S904" i="1"/>
  <c r="R904" i="1"/>
  <c r="Q904" i="1"/>
  <c r="S479" i="1"/>
  <c r="R479" i="1"/>
  <c r="Q479" i="1"/>
  <c r="S898" i="1"/>
  <c r="R898" i="1"/>
  <c r="Q898" i="1"/>
  <c r="S146" i="1"/>
  <c r="R146" i="1"/>
  <c r="Q146" i="1"/>
  <c r="S478" i="1"/>
  <c r="R478" i="1"/>
  <c r="Q478" i="1"/>
  <c r="S74" i="1"/>
  <c r="R74" i="1"/>
  <c r="Q74" i="1"/>
  <c r="S897" i="1"/>
  <c r="R897" i="1"/>
  <c r="Q897" i="1"/>
  <c r="S765" i="1"/>
  <c r="R765" i="1"/>
  <c r="Q765" i="1"/>
  <c r="S896" i="1"/>
  <c r="R896" i="1"/>
  <c r="Q896" i="1"/>
  <c r="S764" i="1"/>
  <c r="R764" i="1"/>
  <c r="Q764" i="1"/>
  <c r="S477" i="1"/>
  <c r="R477" i="1"/>
  <c r="Q477" i="1"/>
  <c r="S763" i="1"/>
  <c r="R763" i="1"/>
  <c r="Q763" i="1"/>
  <c r="S895" i="1"/>
  <c r="R895" i="1"/>
  <c r="Q895" i="1"/>
  <c r="S356" i="1"/>
  <c r="R356" i="1"/>
  <c r="Q356" i="1"/>
  <c r="S109" i="1"/>
  <c r="R109" i="1"/>
  <c r="Q109" i="1"/>
  <c r="S317" i="1"/>
  <c r="R317" i="1"/>
  <c r="Q317" i="1"/>
  <c r="S476" i="1"/>
  <c r="R476" i="1"/>
  <c r="Q476" i="1"/>
  <c r="S903" i="1"/>
  <c r="R903" i="1"/>
  <c r="Q903" i="1"/>
  <c r="S894" i="1"/>
  <c r="R894" i="1"/>
  <c r="Q894" i="1"/>
  <c r="S475" i="1"/>
  <c r="R475" i="1"/>
  <c r="Q475" i="1"/>
  <c r="S355" i="1"/>
  <c r="R355" i="1"/>
  <c r="Q355" i="1"/>
  <c r="S893" i="1"/>
  <c r="R893" i="1"/>
  <c r="Q893" i="1"/>
  <c r="S892" i="1"/>
  <c r="R892" i="1"/>
  <c r="Q892" i="1"/>
  <c r="S11" i="1"/>
  <c r="R11" i="1"/>
  <c r="Q11" i="1"/>
  <c r="S354" i="1"/>
  <c r="R354" i="1"/>
  <c r="Q354" i="1"/>
  <c r="S768" i="1"/>
  <c r="R768" i="1"/>
  <c r="Q768" i="1"/>
  <c r="S353" i="1"/>
  <c r="R353" i="1"/>
  <c r="Q353" i="1"/>
  <c r="S474" i="1"/>
  <c r="R474" i="1"/>
  <c r="Q474" i="1"/>
  <c r="S891" i="1"/>
  <c r="R891" i="1"/>
  <c r="Q891" i="1"/>
  <c r="S473" i="1"/>
  <c r="R473" i="1"/>
  <c r="Q473" i="1"/>
  <c r="S960" i="1"/>
  <c r="R960" i="1"/>
  <c r="Q960" i="1"/>
  <c r="S259" i="1"/>
  <c r="R259" i="1"/>
  <c r="Q259" i="1"/>
  <c r="S472" i="1"/>
  <c r="R472" i="1"/>
  <c r="Q472" i="1"/>
  <c r="S890" i="1"/>
  <c r="R890" i="1"/>
  <c r="Q890" i="1"/>
  <c r="S44" i="1"/>
  <c r="R44" i="1"/>
  <c r="Q44" i="1"/>
  <c r="S998" i="1"/>
  <c r="R998" i="1"/>
  <c r="Q998" i="1"/>
  <c r="S316" i="1"/>
  <c r="R316" i="1"/>
  <c r="Q316" i="1"/>
  <c r="S73" i="1"/>
  <c r="R73" i="1"/>
  <c r="Q73" i="1"/>
  <c r="S72" i="1"/>
  <c r="R72" i="1"/>
  <c r="Q72" i="1"/>
  <c r="S955" i="1"/>
  <c r="R955" i="1"/>
  <c r="Q955" i="1"/>
  <c r="S35" i="1"/>
  <c r="R35" i="1"/>
  <c r="Q35" i="1"/>
  <c r="S61" i="1"/>
  <c r="R61" i="1"/>
  <c r="Q61" i="1"/>
  <c r="S7" i="1"/>
  <c r="R7" i="1"/>
  <c r="Q7" i="1"/>
  <c r="S889" i="1"/>
  <c r="R889" i="1"/>
  <c r="Q889" i="1"/>
  <c r="S471" i="1"/>
  <c r="R471" i="1"/>
  <c r="Q471" i="1"/>
  <c r="S888" i="1"/>
  <c r="R888" i="1"/>
  <c r="Q888" i="1"/>
  <c r="S954" i="1"/>
  <c r="R954" i="1"/>
  <c r="Q954" i="1"/>
  <c r="S887" i="1"/>
  <c r="R887" i="1"/>
  <c r="Q887" i="1"/>
  <c r="S360" i="1"/>
  <c r="R360" i="1"/>
  <c r="Q360" i="1"/>
  <c r="S145" i="1"/>
  <c r="R145" i="1"/>
  <c r="Q145" i="1"/>
  <c r="S43" i="1"/>
  <c r="R43" i="1"/>
  <c r="Q43" i="1"/>
  <c r="S886" i="1"/>
  <c r="R886" i="1"/>
  <c r="Q886" i="1"/>
  <c r="S762" i="1"/>
  <c r="R762" i="1"/>
  <c r="Q762" i="1"/>
  <c r="S144" i="1"/>
  <c r="R144" i="1"/>
  <c r="Q144" i="1"/>
  <c r="S953" i="1"/>
  <c r="R953" i="1"/>
  <c r="Q953" i="1"/>
  <c r="S952" i="1"/>
  <c r="R952" i="1"/>
  <c r="Q952" i="1"/>
  <c r="S470" i="1"/>
  <c r="R470" i="1"/>
  <c r="Q470" i="1"/>
  <c r="S60" i="1"/>
  <c r="R60" i="1"/>
  <c r="Q60" i="1"/>
  <c r="S200" i="1"/>
  <c r="R200" i="1"/>
  <c r="Q200" i="1"/>
  <c r="S115" i="1"/>
  <c r="R115" i="1"/>
  <c r="Q115" i="1"/>
  <c r="S469" i="1"/>
  <c r="R469" i="1"/>
  <c r="Q469" i="1"/>
  <c r="S71" i="1"/>
  <c r="R71" i="1"/>
  <c r="Q71" i="1"/>
  <c r="S143" i="1"/>
  <c r="R143" i="1"/>
  <c r="Q143" i="1"/>
  <c r="S468" i="1"/>
  <c r="R468" i="1"/>
  <c r="Q468" i="1"/>
  <c r="S315" i="1"/>
  <c r="R315" i="1"/>
  <c r="Q315" i="1"/>
  <c r="S314" i="1"/>
  <c r="R314" i="1"/>
  <c r="Q314" i="1"/>
  <c r="S258" i="1"/>
  <c r="R258" i="1"/>
  <c r="Q258" i="1"/>
  <c r="S94" i="1"/>
  <c r="R94" i="1"/>
  <c r="Q94" i="1"/>
  <c r="S313" i="1"/>
  <c r="R313" i="1"/>
  <c r="Q313" i="1"/>
  <c r="S168" i="1"/>
  <c r="R168" i="1"/>
  <c r="Q168" i="1"/>
  <c r="S761" i="1"/>
  <c r="R761" i="1"/>
  <c r="Q761" i="1"/>
  <c r="S467" i="1"/>
  <c r="R467" i="1"/>
  <c r="Q467" i="1"/>
  <c r="S47" i="1"/>
  <c r="R47" i="1"/>
  <c r="Q47" i="1"/>
  <c r="S352" i="1"/>
  <c r="R352" i="1"/>
  <c r="Q352" i="1"/>
  <c r="S760" i="1"/>
  <c r="R760" i="1"/>
  <c r="Q760" i="1"/>
  <c r="S174" i="1"/>
  <c r="R174" i="1"/>
  <c r="Q174" i="1"/>
  <c r="S959" i="1"/>
  <c r="R959" i="1"/>
  <c r="Q959" i="1"/>
  <c r="S46" i="1"/>
  <c r="R46" i="1"/>
  <c r="Q46" i="1"/>
  <c r="S108" i="1"/>
  <c r="R108" i="1"/>
  <c r="Q108" i="1"/>
  <c r="S767" i="1"/>
  <c r="R767" i="1"/>
  <c r="Q767" i="1"/>
  <c r="S170" i="1"/>
  <c r="R170" i="1"/>
  <c r="Q170" i="1"/>
  <c r="S885" i="1"/>
  <c r="R885" i="1"/>
  <c r="Q885" i="1"/>
  <c r="S142" i="1"/>
  <c r="R142" i="1"/>
  <c r="Q142" i="1"/>
  <c r="S466" i="1"/>
  <c r="R466" i="1"/>
  <c r="Q466" i="1"/>
  <c r="S759" i="1"/>
  <c r="R759" i="1"/>
  <c r="Q759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07" i="1"/>
  <c r="R107" i="1"/>
  <c r="Q107" i="1"/>
  <c r="S951" i="1"/>
  <c r="R951" i="1"/>
  <c r="Q951" i="1"/>
  <c r="S769" i="1"/>
  <c r="R769" i="1"/>
  <c r="Q769" i="1"/>
  <c r="S758" i="1"/>
  <c r="R758" i="1"/>
  <c r="Q758" i="1"/>
  <c r="S351" i="1"/>
  <c r="R351" i="1"/>
  <c r="Q351" i="1"/>
  <c r="S312" i="1"/>
  <c r="R312" i="1"/>
  <c r="Q312" i="1"/>
  <c r="S119" i="1"/>
  <c r="R119" i="1"/>
  <c r="Q119" i="1"/>
  <c r="S757" i="1"/>
  <c r="R757" i="1"/>
  <c r="Q757" i="1"/>
  <c r="S350" i="1"/>
  <c r="R350" i="1"/>
  <c r="Q350" i="1"/>
  <c r="S884" i="1"/>
  <c r="R884" i="1"/>
  <c r="Q884" i="1"/>
  <c r="S311" i="1"/>
  <c r="R311" i="1"/>
  <c r="Q311" i="1"/>
  <c r="S349" i="1"/>
  <c r="R349" i="1"/>
  <c r="Q349" i="1"/>
  <c r="S167" i="1"/>
  <c r="R167" i="1"/>
  <c r="Q167" i="1"/>
  <c r="S166" i="1"/>
  <c r="R166" i="1"/>
  <c r="Q166" i="1"/>
  <c r="S45" i="1"/>
  <c r="R45" i="1"/>
  <c r="Q45" i="1"/>
  <c r="S55" i="1"/>
  <c r="R55" i="1"/>
  <c r="Q55" i="1"/>
  <c r="S257" i="1"/>
  <c r="R257" i="1"/>
  <c r="Q257" i="1"/>
  <c r="S70" i="1"/>
  <c r="R70" i="1"/>
  <c r="Q70" i="1"/>
  <c r="S883" i="1"/>
  <c r="R883" i="1"/>
  <c r="Q883" i="1"/>
  <c r="S260" i="1"/>
  <c r="R260" i="1"/>
  <c r="Q260" i="1"/>
  <c r="S465" i="1"/>
  <c r="R465" i="1"/>
  <c r="Q465" i="1"/>
  <c r="S358" i="1"/>
  <c r="R358" i="1"/>
  <c r="Q358" i="1"/>
  <c r="S882" i="1"/>
  <c r="R882" i="1"/>
  <c r="Q882" i="1"/>
  <c r="S950" i="1"/>
  <c r="R950" i="1"/>
  <c r="Q950" i="1"/>
  <c r="S881" i="1"/>
  <c r="R881" i="1"/>
  <c r="Q881" i="1"/>
  <c r="S6" i="1"/>
  <c r="R6" i="1"/>
  <c r="Q6" i="1"/>
  <c r="S348" i="1"/>
  <c r="R348" i="1"/>
  <c r="Q348" i="1"/>
  <c r="S880" i="1"/>
  <c r="R880" i="1"/>
  <c r="Q880" i="1"/>
  <c r="S464" i="1"/>
  <c r="R464" i="1"/>
  <c r="Q464" i="1"/>
  <c r="S199" i="1"/>
  <c r="R199" i="1"/>
  <c r="Q199" i="1"/>
  <c r="S347" i="1"/>
  <c r="R347" i="1"/>
  <c r="Q347" i="1"/>
  <c r="S463" i="1"/>
  <c r="R463" i="1"/>
  <c r="Q463" i="1"/>
  <c r="S310" i="1"/>
  <c r="R310" i="1"/>
  <c r="Q310" i="1"/>
  <c r="S756" i="1"/>
  <c r="R756" i="1"/>
  <c r="Q756" i="1"/>
  <c r="S40" i="1"/>
  <c r="R40" i="1"/>
  <c r="Q40" i="1"/>
  <c r="S59" i="1"/>
  <c r="R59" i="1"/>
  <c r="Q59" i="1"/>
  <c r="S309" i="1"/>
  <c r="R309" i="1"/>
  <c r="Q309" i="1"/>
  <c r="S462" i="1"/>
  <c r="R462" i="1"/>
  <c r="Q462" i="1"/>
  <c r="S346" i="1"/>
  <c r="R346" i="1"/>
  <c r="Q346" i="1"/>
  <c r="S345" i="1"/>
  <c r="R345" i="1"/>
  <c r="Q345" i="1"/>
  <c r="S308" i="1"/>
  <c r="R308" i="1"/>
  <c r="Q308" i="1"/>
  <c r="S461" i="1"/>
  <c r="R461" i="1"/>
  <c r="Q461" i="1"/>
  <c r="S460" i="1"/>
  <c r="R460" i="1"/>
  <c r="Q460" i="1"/>
  <c r="S57" i="1"/>
  <c r="R57" i="1"/>
  <c r="Q57" i="1"/>
  <c r="S137" i="1"/>
  <c r="R137" i="1"/>
  <c r="Q137" i="1"/>
  <c r="S755" i="1"/>
  <c r="R755" i="1"/>
  <c r="Q755" i="1"/>
  <c r="S54" i="1"/>
  <c r="R54" i="1"/>
  <c r="Q54" i="1"/>
  <c r="S29" i="1"/>
  <c r="R29" i="1"/>
  <c r="Q29" i="1"/>
  <c r="S136" i="1"/>
  <c r="R136" i="1"/>
  <c r="Q136" i="1"/>
  <c r="S307" i="1"/>
  <c r="R307" i="1"/>
  <c r="Q307" i="1"/>
  <c r="S99" i="1"/>
  <c r="R99" i="1"/>
  <c r="Q99" i="1"/>
  <c r="S135" i="1"/>
  <c r="R135" i="1"/>
  <c r="Q135" i="1"/>
  <c r="S14" i="1"/>
  <c r="R14" i="1"/>
  <c r="Q14" i="1"/>
  <c r="S344" i="1"/>
  <c r="R344" i="1"/>
  <c r="Q344" i="1"/>
  <c r="S169" i="1"/>
  <c r="R169" i="1"/>
  <c r="Q169" i="1"/>
  <c r="S343" i="1"/>
  <c r="R343" i="1"/>
  <c r="Q343" i="1"/>
  <c r="S198" i="1"/>
  <c r="R198" i="1"/>
  <c r="Q198" i="1"/>
  <c r="S879" i="1"/>
  <c r="R879" i="1"/>
  <c r="Q879" i="1"/>
  <c r="S766" i="1"/>
  <c r="R766" i="1"/>
  <c r="Q766" i="1"/>
  <c r="S878" i="1"/>
  <c r="R878" i="1"/>
  <c r="Q878" i="1"/>
  <c r="S256" i="1"/>
  <c r="R256" i="1"/>
  <c r="Q256" i="1"/>
  <c r="S306" i="1"/>
  <c r="R306" i="1"/>
  <c r="Q306" i="1"/>
  <c r="S16" i="1"/>
  <c r="R16" i="1"/>
  <c r="Q16" i="1"/>
  <c r="S342" i="1"/>
  <c r="R342" i="1"/>
  <c r="Q342" i="1"/>
  <c r="S754" i="1"/>
  <c r="R754" i="1"/>
  <c r="Q754" i="1"/>
  <c r="S197" i="1"/>
  <c r="R197" i="1"/>
  <c r="Q197" i="1"/>
  <c r="S196" i="1"/>
  <c r="R196" i="1"/>
  <c r="Q196" i="1"/>
  <c r="S266" i="1"/>
  <c r="R266" i="1"/>
  <c r="Q266" i="1"/>
  <c r="S69" i="1"/>
  <c r="R69" i="1"/>
  <c r="Q69" i="1"/>
  <c r="S305" i="1"/>
  <c r="R305" i="1"/>
  <c r="Q305" i="1"/>
  <c r="S459" i="1"/>
  <c r="R459" i="1"/>
  <c r="Q459" i="1"/>
  <c r="S458" i="1"/>
  <c r="R458" i="1"/>
  <c r="Q458" i="1"/>
  <c r="S457" i="1"/>
  <c r="R457" i="1"/>
  <c r="Q457" i="1"/>
  <c r="S456" i="1"/>
  <c r="R456" i="1"/>
  <c r="Q456" i="1"/>
  <c r="S304" i="1"/>
  <c r="R304" i="1"/>
  <c r="Q304" i="1"/>
  <c r="S3" i="1"/>
  <c r="R3" i="1"/>
  <c r="Q3" i="1"/>
  <c r="S303" i="1"/>
  <c r="R303" i="1"/>
  <c r="Q303" i="1"/>
  <c r="S877" i="1"/>
  <c r="R877" i="1"/>
  <c r="Q877" i="1"/>
  <c r="S876" i="1"/>
  <c r="R876" i="1"/>
  <c r="Q876" i="1"/>
  <c r="S134" i="1"/>
  <c r="R134" i="1"/>
  <c r="Q134" i="1"/>
  <c r="S133" i="1"/>
  <c r="R133" i="1"/>
  <c r="Q133" i="1"/>
  <c r="S118" i="1"/>
  <c r="R118" i="1"/>
  <c r="Q118" i="1"/>
  <c r="S58" i="1"/>
  <c r="R58" i="1"/>
  <c r="Q58" i="1"/>
  <c r="S875" i="1"/>
  <c r="R875" i="1"/>
  <c r="Q875" i="1"/>
  <c r="S265" i="1"/>
  <c r="R265" i="1"/>
  <c r="Q265" i="1"/>
  <c r="S27" i="1"/>
  <c r="R27" i="1"/>
  <c r="Q27" i="1"/>
  <c r="S455" i="1"/>
  <c r="R455" i="1"/>
  <c r="Q455" i="1"/>
  <c r="S454" i="1"/>
  <c r="R454" i="1"/>
  <c r="Q454" i="1"/>
  <c r="S132" i="1"/>
  <c r="R132" i="1"/>
  <c r="Q132" i="1"/>
  <c r="S264" i="1"/>
  <c r="R264" i="1"/>
  <c r="Q264" i="1"/>
  <c r="S949" i="1"/>
  <c r="R949" i="1"/>
  <c r="Q949" i="1"/>
  <c r="S68" i="1"/>
  <c r="R68" i="1"/>
  <c r="Q68" i="1"/>
  <c r="S67" i="1"/>
  <c r="R67" i="1"/>
  <c r="Q67" i="1"/>
  <c r="S172" i="1"/>
  <c r="R172" i="1"/>
  <c r="Q172" i="1"/>
  <c r="S1102" i="1"/>
  <c r="R1102" i="1"/>
  <c r="Q1102" i="1"/>
  <c r="S612" i="1"/>
  <c r="R612" i="1"/>
  <c r="Q612" i="1"/>
  <c r="S285" i="1"/>
  <c r="R285" i="1"/>
  <c r="Q285" i="1"/>
  <c r="S239" i="1"/>
  <c r="R239" i="1"/>
  <c r="Q239" i="1"/>
  <c r="S609" i="1"/>
  <c r="R609" i="1"/>
  <c r="Q609" i="1"/>
  <c r="S626" i="1"/>
  <c r="R626" i="1"/>
  <c r="Q626" i="1"/>
  <c r="S367" i="1"/>
  <c r="R367" i="1"/>
  <c r="Q367" i="1"/>
  <c r="S1058" i="1"/>
  <c r="R1058" i="1"/>
  <c r="Q1058" i="1"/>
  <c r="S547" i="1"/>
  <c r="R547" i="1"/>
  <c r="Q547" i="1"/>
  <c r="S1023" i="1"/>
  <c r="R1023" i="1"/>
  <c r="Q1023" i="1"/>
  <c r="S1042" i="1"/>
  <c r="R1042" i="1"/>
  <c r="Q1042" i="1"/>
  <c r="S453" i="1"/>
  <c r="R453" i="1"/>
  <c r="Q453" i="1"/>
  <c r="S948" i="1"/>
  <c r="R948" i="1"/>
  <c r="Q948" i="1"/>
  <c r="S165" i="1"/>
  <c r="R165" i="1"/>
  <c r="Q165" i="1"/>
  <c r="S997" i="1"/>
  <c r="R997" i="1"/>
  <c r="Q997" i="1"/>
  <c r="S854" i="1"/>
  <c r="R854" i="1"/>
  <c r="Q854" i="1"/>
  <c r="S451" i="1"/>
  <c r="R451" i="1"/>
  <c r="Q451" i="1"/>
  <c r="S1065" i="1"/>
  <c r="R1065" i="1"/>
  <c r="Q1065" i="1"/>
  <c r="S864" i="1"/>
  <c r="R864" i="1"/>
  <c r="Q864" i="1"/>
  <c r="S1071" i="1"/>
  <c r="R1071" i="1"/>
  <c r="Q1071" i="1"/>
  <c r="S863" i="1"/>
  <c r="R863" i="1"/>
  <c r="Q863" i="1"/>
  <c r="S862" i="1"/>
  <c r="R862" i="1"/>
  <c r="Q862" i="1"/>
  <c r="S450" i="1"/>
  <c r="R450" i="1"/>
  <c r="Q450" i="1"/>
  <c r="S992" i="1"/>
  <c r="R992" i="1"/>
  <c r="Q992" i="1"/>
  <c r="S947" i="1"/>
  <c r="R947" i="1"/>
  <c r="Q947" i="1"/>
  <c r="S1095" i="1"/>
  <c r="R1095" i="1"/>
  <c r="Q1095" i="1"/>
  <c r="S996" i="1"/>
  <c r="R996" i="1"/>
  <c r="Q996" i="1"/>
  <c r="S853" i="1"/>
  <c r="R853" i="1"/>
  <c r="Q853" i="1"/>
  <c r="S1123" i="1"/>
  <c r="R1123" i="1"/>
  <c r="Q1123" i="1"/>
  <c r="S1099" i="1"/>
  <c r="R1099" i="1"/>
  <c r="Q1099" i="1"/>
  <c r="S1057" i="1"/>
  <c r="R1057" i="1"/>
  <c r="Q1057" i="1"/>
  <c r="S1028" i="1"/>
  <c r="R1028" i="1"/>
  <c r="Q1028" i="1"/>
  <c r="S448" i="1"/>
  <c r="R448" i="1"/>
  <c r="Q448" i="1"/>
  <c r="S117" i="1"/>
  <c r="R117" i="1"/>
  <c r="Q117" i="1"/>
  <c r="S523" i="1"/>
  <c r="R523" i="1"/>
  <c r="Q523" i="1"/>
  <c r="S627" i="1"/>
  <c r="R627" i="1"/>
  <c r="Q627" i="1"/>
  <c r="S1070" i="1"/>
  <c r="R1070" i="1"/>
  <c r="Q1070" i="1"/>
  <c r="S447" i="1"/>
  <c r="R447" i="1"/>
  <c r="Q447" i="1"/>
  <c r="S1064" i="1"/>
  <c r="R1064" i="1"/>
  <c r="Q1064" i="1"/>
  <c r="S860" i="1"/>
  <c r="R860" i="1"/>
  <c r="Q860" i="1"/>
  <c r="S613" i="1"/>
  <c r="R613" i="1"/>
  <c r="Q613" i="1"/>
  <c r="S941" i="1"/>
  <c r="R941" i="1"/>
  <c r="Q941" i="1"/>
  <c r="S859" i="1"/>
  <c r="R859" i="1"/>
  <c r="Q859" i="1"/>
  <c r="S1056" i="1"/>
  <c r="R1056" i="1"/>
  <c r="Q1056" i="1"/>
  <c r="S588" i="1"/>
  <c r="R588" i="1"/>
  <c r="Q588" i="1"/>
  <c r="S604" i="1"/>
  <c r="R604" i="1"/>
  <c r="Q604" i="1"/>
  <c r="S536" i="1"/>
  <c r="R536" i="1"/>
  <c r="Q536" i="1"/>
  <c r="S157" i="1"/>
  <c r="R157" i="1"/>
  <c r="Q157" i="1"/>
  <c r="S446" i="1"/>
  <c r="R446" i="1"/>
  <c r="Q446" i="1"/>
  <c r="S1041" i="1"/>
  <c r="R1041" i="1"/>
  <c r="Q1041" i="1"/>
  <c r="S1027" i="1"/>
  <c r="R1027" i="1"/>
  <c r="Q1027" i="1"/>
  <c r="S1105" i="1"/>
  <c r="R1105" i="1"/>
  <c r="Q1105" i="1"/>
  <c r="S1059" i="1"/>
  <c r="R1059" i="1"/>
  <c r="Q1059" i="1"/>
  <c r="S858" i="1"/>
  <c r="R858" i="1"/>
  <c r="Q858" i="1"/>
  <c r="S874" i="1"/>
  <c r="R874" i="1"/>
  <c r="Q874" i="1"/>
  <c r="S445" i="1"/>
  <c r="R445" i="1"/>
  <c r="Q445" i="1"/>
  <c r="S1088" i="1"/>
  <c r="R1088" i="1"/>
  <c r="Q1088" i="1"/>
  <c r="S1072" i="1"/>
  <c r="R1072" i="1"/>
  <c r="Q1072" i="1"/>
  <c r="S995" i="1"/>
  <c r="R995" i="1"/>
  <c r="Q995" i="1"/>
  <c r="S1069" i="1"/>
  <c r="R1069" i="1"/>
  <c r="Q1069" i="1"/>
  <c r="S1089" i="1"/>
  <c r="R1089" i="1"/>
  <c r="Q1089" i="1"/>
  <c r="S1128" i="1"/>
  <c r="R1128" i="1"/>
  <c r="Q1128" i="1"/>
  <c r="S1083" i="1"/>
  <c r="R1083" i="1"/>
  <c r="Q1083" i="1"/>
  <c r="S24" i="1"/>
  <c r="R24" i="1"/>
  <c r="Q24" i="1"/>
  <c r="S116" i="1"/>
  <c r="R116" i="1"/>
  <c r="Q116" i="1"/>
  <c r="S857" i="1"/>
  <c r="R857" i="1"/>
  <c r="Q857" i="1"/>
  <c r="S444" i="1"/>
  <c r="R444" i="1"/>
  <c r="Q444" i="1"/>
  <c r="S1087" i="1"/>
  <c r="R1087" i="1"/>
  <c r="Q1087" i="1"/>
  <c r="S856" i="1"/>
  <c r="R856" i="1"/>
  <c r="Q856" i="1"/>
  <c r="S989" i="1"/>
  <c r="R989" i="1"/>
  <c r="Q989" i="1"/>
  <c r="S855" i="1"/>
  <c r="R855" i="1"/>
  <c r="Q855" i="1"/>
  <c r="S1086" i="1"/>
  <c r="R1086" i="1"/>
  <c r="Q1086" i="1"/>
  <c r="S443" i="1"/>
  <c r="R443" i="1"/>
  <c r="Q443" i="1"/>
  <c r="S937" i="1"/>
  <c r="R937" i="1"/>
  <c r="Q937" i="1"/>
  <c r="S1084" i="1"/>
  <c r="R1084" i="1"/>
  <c r="Q1084" i="1"/>
  <c r="S10" i="1"/>
  <c r="R10" i="1"/>
  <c r="Q10" i="1"/>
  <c r="S5" i="1"/>
  <c r="R5" i="1"/>
  <c r="Q5" i="1"/>
  <c r="S669" i="1"/>
  <c r="R669" i="1"/>
  <c r="Q669" i="1"/>
  <c r="S552" i="1"/>
  <c r="R552" i="1"/>
  <c r="Q552" i="1"/>
  <c r="S581" i="1"/>
  <c r="R581" i="1"/>
  <c r="Q581" i="1"/>
  <c r="S429" i="1"/>
  <c r="R429" i="1"/>
  <c r="Q429" i="1"/>
  <c r="S111" i="1"/>
  <c r="R111" i="1"/>
  <c r="Q111" i="1"/>
  <c r="S442" i="1"/>
  <c r="R442" i="1"/>
  <c r="Q442" i="1"/>
  <c r="S39" i="1"/>
  <c r="R39" i="1"/>
  <c r="Q39" i="1"/>
  <c r="S988" i="1"/>
  <c r="R988" i="1"/>
  <c r="Q988" i="1"/>
  <c r="S1022" i="1"/>
  <c r="R1022" i="1"/>
  <c r="Q1022" i="1"/>
  <c r="S1055" i="1"/>
  <c r="R1055" i="1"/>
  <c r="Q1055" i="1"/>
  <c r="S675" i="1"/>
  <c r="R675" i="1"/>
  <c r="Q675" i="1"/>
  <c r="S852" i="1"/>
  <c r="R852" i="1"/>
  <c r="Q852" i="1"/>
  <c r="S851" i="1"/>
  <c r="R851" i="1"/>
  <c r="Q851" i="1"/>
  <c r="S440" i="1"/>
  <c r="R440" i="1"/>
  <c r="Q440" i="1"/>
  <c r="S34" i="1"/>
  <c r="R34" i="1"/>
  <c r="Q34" i="1"/>
  <c r="S598" i="1"/>
  <c r="R598" i="1"/>
  <c r="Q598" i="1"/>
  <c r="S189" i="1"/>
  <c r="R189" i="1"/>
  <c r="Q189" i="1"/>
  <c r="S850" i="1"/>
  <c r="R850" i="1"/>
  <c r="Q850" i="1"/>
  <c r="S599" i="1"/>
  <c r="R599" i="1"/>
  <c r="Q599" i="1"/>
  <c r="S224" i="1"/>
  <c r="R224" i="1"/>
  <c r="Q224" i="1"/>
  <c r="S509" i="1"/>
  <c r="R509" i="1"/>
  <c r="Q509" i="1"/>
  <c r="S195" i="1"/>
  <c r="R195" i="1"/>
  <c r="Q195" i="1"/>
  <c r="S131" i="1"/>
  <c r="R131" i="1"/>
  <c r="Q131" i="1"/>
  <c r="S233" i="1"/>
  <c r="R233" i="1"/>
  <c r="Q233" i="1"/>
  <c r="S51" i="1"/>
  <c r="R51" i="1"/>
  <c r="Q51" i="1"/>
  <c r="S571" i="1"/>
  <c r="R571" i="1"/>
  <c r="Q571" i="1"/>
  <c r="S617" i="1"/>
  <c r="R617" i="1"/>
  <c r="Q617" i="1"/>
  <c r="S800" i="1"/>
  <c r="R800" i="1"/>
  <c r="Q800" i="1"/>
  <c r="S150" i="1"/>
  <c r="R150" i="1"/>
  <c r="Q150" i="1"/>
  <c r="S511" i="1"/>
  <c r="R511" i="1"/>
  <c r="Q511" i="1"/>
  <c r="S85" i="1"/>
  <c r="R85" i="1"/>
  <c r="Q85" i="1"/>
  <c r="S554" i="1"/>
  <c r="R554" i="1"/>
  <c r="Q554" i="1"/>
  <c r="S533" i="1"/>
  <c r="R533" i="1"/>
  <c r="Q533" i="1"/>
  <c r="S590" i="1"/>
  <c r="R590" i="1"/>
  <c r="Q590" i="1"/>
  <c r="S230" i="1"/>
  <c r="R230" i="1"/>
  <c r="Q230" i="1"/>
  <c r="S625" i="1"/>
  <c r="R625" i="1"/>
  <c r="Q625" i="1"/>
  <c r="S436" i="1"/>
  <c r="R436" i="1"/>
  <c r="Q436" i="1"/>
  <c r="S797" i="1"/>
  <c r="R797" i="1"/>
  <c r="Q797" i="1"/>
  <c r="S1021" i="1"/>
  <c r="R1021" i="1"/>
  <c r="Q1021" i="1"/>
  <c r="S432" i="1"/>
  <c r="R432" i="1"/>
  <c r="Q432" i="1"/>
  <c r="S656" i="1"/>
  <c r="R656" i="1"/>
  <c r="Q656" i="1"/>
  <c r="S193" i="1"/>
  <c r="R193" i="1"/>
  <c r="Q193" i="1"/>
  <c r="S296" i="1"/>
  <c r="R296" i="1"/>
  <c r="Q296" i="1"/>
  <c r="S680" i="1"/>
  <c r="R680" i="1"/>
  <c r="Q680" i="1"/>
  <c r="S300" i="1"/>
  <c r="R300" i="1"/>
  <c r="Q300" i="1"/>
  <c r="S91" i="1"/>
  <c r="R91" i="1"/>
  <c r="Q91" i="1"/>
  <c r="S217" i="1"/>
  <c r="R217" i="1"/>
  <c r="Q217" i="1"/>
  <c r="S1116" i="1"/>
  <c r="R1116" i="1"/>
  <c r="Q1116" i="1"/>
  <c r="S873" i="1"/>
  <c r="R873" i="1"/>
  <c r="Q873" i="1"/>
  <c r="S846" i="1"/>
  <c r="R846" i="1"/>
  <c r="Q846" i="1"/>
  <c r="S298" i="1"/>
  <c r="R298" i="1"/>
  <c r="Q298" i="1"/>
  <c r="S287" i="1"/>
  <c r="R287" i="1"/>
  <c r="Q287" i="1"/>
  <c r="S647" i="1"/>
  <c r="R647" i="1"/>
  <c r="Q647" i="1"/>
  <c r="S1053" i="1"/>
  <c r="R1053" i="1"/>
  <c r="Q1053" i="1"/>
  <c r="S154" i="1"/>
  <c r="R154" i="1"/>
  <c r="Q154" i="1"/>
  <c r="S849" i="1"/>
  <c r="R849" i="1"/>
  <c r="Q849" i="1"/>
  <c r="S1130" i="1"/>
  <c r="R1130" i="1"/>
  <c r="Q1130" i="1"/>
  <c r="S205" i="1"/>
  <c r="R205" i="1"/>
  <c r="Q205" i="1"/>
  <c r="S409" i="1"/>
  <c r="R409" i="1"/>
  <c r="Q409" i="1"/>
  <c r="S327" i="1"/>
  <c r="R327" i="1"/>
  <c r="Q327" i="1"/>
  <c r="S592" i="1"/>
  <c r="R592" i="1"/>
  <c r="Q592" i="1"/>
  <c r="S551" i="1"/>
  <c r="R551" i="1"/>
  <c r="Q551" i="1"/>
  <c r="S242" i="1"/>
  <c r="R242" i="1"/>
  <c r="Q242" i="1"/>
  <c r="S553" i="1"/>
  <c r="R553" i="1"/>
  <c r="Q553" i="1"/>
  <c r="S103" i="1"/>
  <c r="R103" i="1"/>
  <c r="Q103" i="1"/>
  <c r="S437" i="1"/>
  <c r="R437" i="1"/>
  <c r="Q437" i="1"/>
  <c r="S294" i="1"/>
  <c r="R294" i="1"/>
  <c r="Q294" i="1"/>
  <c r="S630" i="1"/>
  <c r="R630" i="1"/>
  <c r="Q630" i="1"/>
  <c r="S808" i="1"/>
  <c r="R808" i="1"/>
  <c r="Q808" i="1"/>
  <c r="S78" i="1"/>
  <c r="R78" i="1"/>
  <c r="Q78" i="1"/>
  <c r="S187" i="1"/>
  <c r="R187" i="1"/>
  <c r="Q187" i="1"/>
  <c r="S90" i="1"/>
  <c r="R90" i="1"/>
  <c r="Q90" i="1"/>
  <c r="S212" i="1"/>
  <c r="R212" i="1"/>
  <c r="Q212" i="1"/>
  <c r="S1122" i="1"/>
  <c r="R1122" i="1"/>
  <c r="Q1122" i="1"/>
  <c r="S994" i="1"/>
  <c r="R994" i="1"/>
  <c r="Q994" i="1"/>
  <c r="S1052" i="1"/>
  <c r="R1052" i="1"/>
  <c r="Q1052" i="1"/>
  <c r="S331" i="1"/>
  <c r="R331" i="1"/>
  <c r="Q331" i="1"/>
  <c r="S1104" i="1"/>
  <c r="R1104" i="1"/>
  <c r="Q1104" i="1"/>
  <c r="S1119" i="1"/>
  <c r="R1119" i="1"/>
  <c r="Q1119" i="1"/>
  <c r="S423" i="1"/>
  <c r="R423" i="1"/>
  <c r="Q423" i="1"/>
  <c r="S422" i="1"/>
  <c r="R422" i="1"/>
  <c r="Q422" i="1"/>
  <c r="S421" i="1"/>
  <c r="R421" i="1"/>
  <c r="Q421" i="1"/>
  <c r="S1100" i="1"/>
  <c r="R1100" i="1"/>
  <c r="Q1100" i="1"/>
  <c r="S1090" i="1"/>
  <c r="R1090" i="1"/>
  <c r="Q1090" i="1"/>
  <c r="S420" i="1"/>
  <c r="R420" i="1"/>
  <c r="Q420" i="1"/>
  <c r="S1044" i="1"/>
  <c r="R1044" i="1"/>
  <c r="Q1044" i="1"/>
  <c r="S841" i="1"/>
  <c r="R841" i="1"/>
  <c r="Q841" i="1"/>
  <c r="S1045" i="1"/>
  <c r="R1045" i="1"/>
  <c r="Q1045" i="1"/>
  <c r="S419" i="1"/>
  <c r="R419" i="1"/>
  <c r="Q419" i="1"/>
  <c r="S1038" i="1"/>
  <c r="R1038" i="1"/>
  <c r="Q1038" i="1"/>
  <c r="S872" i="1"/>
  <c r="R872" i="1"/>
  <c r="Q872" i="1"/>
  <c r="S934" i="1"/>
  <c r="R934" i="1"/>
  <c r="Q934" i="1"/>
  <c r="S840" i="1"/>
  <c r="R840" i="1"/>
  <c r="Q840" i="1"/>
  <c r="S292" i="1"/>
  <c r="R292" i="1"/>
  <c r="Q292" i="1"/>
  <c r="S263" i="1"/>
  <c r="R263" i="1"/>
  <c r="Q263" i="1"/>
  <c r="S418" i="1"/>
  <c r="R418" i="1"/>
  <c r="Q418" i="1"/>
  <c r="S262" i="1"/>
  <c r="R262" i="1"/>
  <c r="Q262" i="1"/>
  <c r="S8" i="1"/>
  <c r="R8" i="1"/>
  <c r="Q8" i="1"/>
  <c r="S341" i="1"/>
  <c r="R341" i="1"/>
  <c r="Q341" i="1"/>
  <c r="S1096" i="1"/>
  <c r="R1096" i="1"/>
  <c r="Q1096" i="1"/>
  <c r="S961" i="1"/>
  <c r="R961" i="1"/>
  <c r="Q961" i="1"/>
  <c r="S129" i="1"/>
  <c r="R129" i="1"/>
  <c r="Q129" i="1"/>
  <c r="S1020" i="1"/>
  <c r="R1020" i="1"/>
  <c r="Q1020" i="1"/>
  <c r="S839" i="1"/>
  <c r="R839" i="1"/>
  <c r="Q839" i="1"/>
  <c r="S417" i="1"/>
  <c r="R417" i="1"/>
  <c r="Q417" i="1"/>
  <c r="S1135" i="1"/>
  <c r="R1135" i="1"/>
  <c r="Q1135" i="1"/>
  <c r="S838" i="1"/>
  <c r="R838" i="1"/>
  <c r="Q838" i="1"/>
  <c r="S837" i="1"/>
  <c r="R837" i="1"/>
  <c r="Q837" i="1"/>
  <c r="S1019" i="1"/>
  <c r="R1019" i="1"/>
  <c r="Q1019" i="1"/>
  <c r="S933" i="1"/>
  <c r="R933" i="1"/>
  <c r="Q933" i="1"/>
  <c r="S932" i="1"/>
  <c r="R932" i="1"/>
  <c r="Q932" i="1"/>
  <c r="S416" i="1"/>
  <c r="R416" i="1"/>
  <c r="Q416" i="1"/>
  <c r="S1117" i="1"/>
  <c r="R1117" i="1"/>
  <c r="Q1117" i="1"/>
  <c r="S1110" i="1"/>
  <c r="R1110" i="1"/>
  <c r="Q1110" i="1"/>
  <c r="S415" i="1"/>
  <c r="R415" i="1"/>
  <c r="Q415" i="1"/>
  <c r="S836" i="1"/>
  <c r="R836" i="1"/>
  <c r="Q836" i="1"/>
  <c r="S984" i="1"/>
  <c r="R984" i="1"/>
  <c r="Q984" i="1"/>
  <c r="S835" i="1"/>
  <c r="R835" i="1"/>
  <c r="Q835" i="1"/>
  <c r="S931" i="1"/>
  <c r="R931" i="1"/>
  <c r="Q931" i="1"/>
  <c r="S414" i="1"/>
  <c r="R414" i="1"/>
  <c r="Q414" i="1"/>
  <c r="S413" i="1"/>
  <c r="R413" i="1"/>
  <c r="Q413" i="1"/>
  <c r="S834" i="1"/>
  <c r="R834" i="1"/>
  <c r="Q834" i="1"/>
  <c r="S930" i="1"/>
  <c r="R930" i="1"/>
  <c r="Q930" i="1"/>
  <c r="S833" i="1"/>
  <c r="R833" i="1"/>
  <c r="Q833" i="1"/>
  <c r="S929" i="1"/>
  <c r="R929" i="1"/>
  <c r="Q929" i="1"/>
  <c r="S928" i="1"/>
  <c r="R928" i="1"/>
  <c r="Q928" i="1"/>
  <c r="S983" i="1"/>
  <c r="R983" i="1"/>
  <c r="Q983" i="1"/>
  <c r="S982" i="1"/>
  <c r="R982" i="1"/>
  <c r="Q982" i="1"/>
  <c r="S33" i="1"/>
  <c r="R33" i="1"/>
  <c r="Q33" i="1"/>
  <c r="S1037" i="1"/>
  <c r="R1037" i="1"/>
  <c r="Q1037" i="1"/>
  <c r="S753" i="1"/>
  <c r="R753" i="1"/>
  <c r="Q753" i="1"/>
  <c r="S832" i="1"/>
  <c r="R832" i="1"/>
  <c r="Q832" i="1"/>
  <c r="S30" i="1"/>
  <c r="R30" i="1"/>
  <c r="Q30" i="1"/>
  <c r="S831" i="1"/>
  <c r="R831" i="1"/>
  <c r="Q831" i="1"/>
  <c r="S128" i="1"/>
  <c r="R128" i="1"/>
  <c r="Q128" i="1"/>
  <c r="S291" i="1"/>
  <c r="R291" i="1"/>
  <c r="Q291" i="1"/>
  <c r="S412" i="1"/>
  <c r="R412" i="1"/>
  <c r="Q412" i="1"/>
  <c r="S927" i="1"/>
  <c r="R927" i="1"/>
  <c r="Q927" i="1"/>
  <c r="S186" i="1"/>
  <c r="R186" i="1"/>
  <c r="Q186" i="1"/>
  <c r="S290" i="1"/>
  <c r="R290" i="1"/>
  <c r="Q290" i="1"/>
  <c r="S1043" i="1"/>
  <c r="R1043" i="1"/>
  <c r="Q1043" i="1"/>
  <c r="S1120" i="1"/>
  <c r="R1120" i="1"/>
  <c r="Q1120" i="1"/>
  <c r="S1018" i="1"/>
  <c r="R1018" i="1"/>
  <c r="Q1018" i="1"/>
  <c r="S830" i="1"/>
  <c r="R830" i="1"/>
  <c r="Q830" i="1"/>
  <c r="S1036" i="1"/>
  <c r="R1036" i="1"/>
  <c r="Q1036" i="1"/>
  <c r="S829" i="1"/>
  <c r="R829" i="1"/>
  <c r="Q829" i="1"/>
  <c r="S981" i="1"/>
  <c r="R981" i="1"/>
  <c r="Q981" i="1"/>
  <c r="S1017" i="1"/>
  <c r="R1017" i="1"/>
  <c r="Q1017" i="1"/>
  <c r="S1132" i="1"/>
  <c r="R1132" i="1"/>
  <c r="Q1132" i="1"/>
  <c r="S1054" i="1"/>
  <c r="R1054" i="1"/>
  <c r="Q1054" i="1"/>
  <c r="S1063" i="1"/>
  <c r="R1063" i="1"/>
  <c r="Q1063" i="1"/>
  <c r="S411" i="1"/>
  <c r="R411" i="1"/>
  <c r="Q411" i="1"/>
  <c r="S104" i="1"/>
  <c r="R104" i="1"/>
  <c r="Q104" i="1"/>
  <c r="S1097" i="1"/>
  <c r="R1097" i="1"/>
  <c r="Q1097" i="1"/>
  <c r="S1092" i="1"/>
  <c r="R1092" i="1"/>
  <c r="Q1092" i="1"/>
  <c r="S1051" i="1"/>
  <c r="R1051" i="1"/>
  <c r="Q1051" i="1"/>
  <c r="S1091" i="1"/>
  <c r="R1091" i="1"/>
  <c r="Q1091" i="1"/>
  <c r="S1050" i="1"/>
  <c r="R1050" i="1"/>
  <c r="Q1050" i="1"/>
  <c r="S211" i="1"/>
  <c r="R211" i="1"/>
  <c r="Q211" i="1"/>
  <c r="S1127" i="1"/>
  <c r="R1127" i="1"/>
  <c r="Q1127" i="1"/>
  <c r="S1049" i="1"/>
  <c r="R1049" i="1"/>
  <c r="Q1049" i="1"/>
  <c r="S163" i="1"/>
  <c r="R163" i="1"/>
  <c r="Q163" i="1"/>
  <c r="S32" i="1"/>
  <c r="R32" i="1"/>
  <c r="Q32" i="1"/>
  <c r="S1048" i="1"/>
  <c r="R1048" i="1"/>
  <c r="Q1048" i="1"/>
  <c r="S1046" i="1"/>
  <c r="R1046" i="1"/>
  <c r="Q1046" i="1"/>
  <c r="S1040" i="1"/>
  <c r="R1040" i="1"/>
  <c r="Q1040" i="1"/>
  <c r="S1039" i="1"/>
  <c r="R1039" i="1"/>
  <c r="Q1039" i="1"/>
  <c r="S1085" i="1"/>
  <c r="R1085" i="1"/>
  <c r="Q1085" i="1"/>
  <c r="S206" i="1"/>
  <c r="R206" i="1"/>
  <c r="Q206" i="1"/>
  <c r="S50" i="1"/>
  <c r="R50" i="1"/>
  <c r="Q50" i="1"/>
  <c r="S4" i="1"/>
  <c r="R4" i="1"/>
  <c r="S297" i="1"/>
  <c r="R297" i="1"/>
  <c r="Q297" i="1"/>
  <c r="S534" i="1"/>
  <c r="R534" i="1"/>
  <c r="Q534" i="1"/>
  <c r="S295" i="1"/>
  <c r="R295" i="1"/>
  <c r="Q295" i="1"/>
  <c r="S589" i="1"/>
  <c r="R589" i="1"/>
  <c r="Q589" i="1"/>
  <c r="S80" i="1"/>
  <c r="R80" i="1"/>
  <c r="Q80" i="1"/>
  <c r="S1035" i="1"/>
  <c r="R1035" i="1"/>
  <c r="Q1035" i="1"/>
  <c r="S433" i="1"/>
  <c r="R433" i="1"/>
  <c r="Q433" i="1"/>
  <c r="S605" i="1"/>
  <c r="R605" i="1"/>
  <c r="Q605" i="1"/>
  <c r="S546" i="1"/>
  <c r="R546" i="1"/>
  <c r="Q546" i="1"/>
  <c r="S810" i="1"/>
  <c r="R810" i="1"/>
  <c r="Q810" i="1"/>
  <c r="S323" i="1"/>
  <c r="R323" i="1"/>
  <c r="Q323" i="1"/>
  <c r="S214" i="1"/>
  <c r="R214" i="1"/>
  <c r="Q214" i="1"/>
  <c r="S220" i="1"/>
  <c r="R220" i="1"/>
  <c r="Q220" i="1"/>
  <c r="S53" i="1"/>
  <c r="R53" i="1"/>
  <c r="Q53" i="1"/>
  <c r="S159" i="1"/>
  <c r="R159" i="1"/>
  <c r="Q159" i="1"/>
  <c r="S110" i="1"/>
  <c r="R110" i="1"/>
  <c r="Q110" i="1"/>
  <c r="S574" i="1"/>
  <c r="R574" i="1"/>
  <c r="Q574" i="1"/>
  <c r="S288" i="1"/>
  <c r="R288" i="1"/>
  <c r="Q288" i="1"/>
  <c r="S97" i="1"/>
  <c r="R97" i="1"/>
  <c r="Q97" i="1"/>
  <c r="S241" i="1"/>
  <c r="R241" i="1"/>
  <c r="Q241" i="1"/>
  <c r="S1034" i="1"/>
  <c r="R1034" i="1"/>
  <c r="Q1034" i="1"/>
  <c r="S643" i="1"/>
  <c r="R643" i="1"/>
  <c r="Q643" i="1"/>
  <c r="S528" i="1"/>
  <c r="R528" i="1"/>
  <c r="Q528" i="1"/>
  <c r="S681" i="1"/>
  <c r="R681" i="1"/>
  <c r="Q681" i="1"/>
  <c r="S81" i="1"/>
  <c r="R81" i="1"/>
  <c r="Q81" i="1"/>
  <c r="S1033" i="1"/>
  <c r="R1033" i="1"/>
  <c r="Q1033" i="1"/>
  <c r="S646" i="1"/>
  <c r="R646" i="1"/>
  <c r="Q646" i="1"/>
  <c r="S563" i="1"/>
  <c r="R563" i="1"/>
  <c r="Q563" i="1"/>
  <c r="S1032" i="1"/>
  <c r="R1032" i="1"/>
  <c r="Q1032" i="1"/>
  <c r="S1024" i="1"/>
  <c r="R1024" i="1"/>
  <c r="Q1024" i="1"/>
  <c r="S1016" i="1"/>
  <c r="R1016" i="1"/>
  <c r="Q1016" i="1"/>
  <c r="S1015" i="1"/>
  <c r="R1015" i="1"/>
  <c r="Q1015" i="1"/>
  <c r="S1082" i="1"/>
  <c r="R1082" i="1"/>
  <c r="Q1082" i="1"/>
  <c r="S1121" i="1"/>
  <c r="R1121" i="1"/>
  <c r="Q1121" i="1"/>
  <c r="S1115" i="1"/>
  <c r="R1115" i="1"/>
  <c r="Q1115" i="1"/>
  <c r="S1113" i="1"/>
  <c r="R1113" i="1"/>
  <c r="Q1113" i="1"/>
  <c r="S1014" i="1"/>
  <c r="R1014" i="1"/>
  <c r="Q1014" i="1"/>
  <c r="S1131" i="1"/>
  <c r="R1131" i="1"/>
  <c r="Q1131" i="1"/>
  <c r="S619" i="1"/>
  <c r="R619" i="1"/>
  <c r="Q619" i="1"/>
  <c r="S1013" i="1"/>
  <c r="R1013" i="1"/>
  <c r="Q1013" i="1"/>
  <c r="S410" i="1"/>
  <c r="R410" i="1"/>
  <c r="Q410" i="1"/>
  <c r="S1012" i="1"/>
  <c r="R1012" i="1"/>
  <c r="Q1012" i="1"/>
  <c r="S1109" i="1"/>
  <c r="R1109" i="1"/>
  <c r="Q1109" i="1"/>
  <c r="S1081" i="1"/>
  <c r="R1081" i="1"/>
  <c r="Q1081" i="1"/>
  <c r="S20" i="1"/>
  <c r="R20" i="1"/>
  <c r="Q20" i="1"/>
  <c r="S1134" i="1"/>
  <c r="R1134" i="1"/>
  <c r="Q1134" i="1"/>
  <c r="S1103" i="1"/>
  <c r="R1103" i="1"/>
  <c r="Q1103" i="1"/>
  <c r="S1001" i="1"/>
  <c r="R1001" i="1"/>
  <c r="Q1001" i="1"/>
  <c r="S227" i="1"/>
  <c r="R227" i="1"/>
  <c r="Q227" i="1"/>
  <c r="S1126" i="1"/>
  <c r="R1126" i="1"/>
  <c r="Q1126" i="1"/>
  <c r="S106" i="1"/>
  <c r="R106" i="1"/>
  <c r="Q106" i="1"/>
  <c r="S1080" i="1"/>
  <c r="R1080" i="1"/>
  <c r="Q1080" i="1"/>
  <c r="S1079" i="1"/>
  <c r="R1079" i="1"/>
  <c r="Q1079" i="1"/>
  <c r="S243" i="1"/>
  <c r="R243" i="1"/>
  <c r="Q243" i="1"/>
  <c r="S517" i="1"/>
  <c r="R517" i="1"/>
  <c r="Q517" i="1"/>
  <c r="S1078" i="1"/>
  <c r="R1078" i="1"/>
  <c r="Q1078" i="1"/>
  <c r="S325" i="1"/>
  <c r="R325" i="1"/>
  <c r="Q325" i="1"/>
  <c r="S236" i="1"/>
  <c r="R236" i="1"/>
  <c r="Q236" i="1"/>
  <c r="S207" i="1"/>
  <c r="R207" i="1"/>
  <c r="Q207" i="1"/>
  <c r="S434" i="1"/>
  <c r="R434" i="1"/>
  <c r="Q434" i="1"/>
  <c r="S38" i="1"/>
  <c r="R38" i="1"/>
  <c r="Q38" i="1"/>
  <c r="S1133" i="1"/>
  <c r="R1133" i="1"/>
  <c r="Q1133" i="1"/>
  <c r="S225" i="1"/>
  <c r="R225" i="1"/>
  <c r="Q225" i="1"/>
  <c r="S86" i="1"/>
  <c r="R86" i="1"/>
  <c r="Q86" i="1"/>
  <c r="S21" i="1"/>
  <c r="R21" i="1"/>
  <c r="Q21" i="1"/>
  <c r="S160" i="1"/>
  <c r="R160" i="1"/>
  <c r="Q160" i="1"/>
  <c r="S76" i="1"/>
  <c r="R76" i="1"/>
  <c r="Q76" i="1"/>
  <c r="S22" i="1"/>
  <c r="R22" i="1"/>
  <c r="Q22" i="1"/>
  <c r="S914" i="1"/>
  <c r="R914" i="1"/>
  <c r="Q914" i="1"/>
  <c r="S185" i="1"/>
  <c r="R185" i="1"/>
  <c r="Q185" i="1"/>
  <c r="S209" i="1"/>
  <c r="R209" i="1"/>
  <c r="Q209" i="1"/>
  <c r="S335" i="1"/>
  <c r="R335" i="1"/>
  <c r="Q335" i="1"/>
  <c r="S650" i="1"/>
  <c r="R650" i="1"/>
  <c r="Q650" i="1"/>
  <c r="S127" i="1"/>
  <c r="R127" i="1"/>
  <c r="Q127" i="1"/>
  <c r="S126" i="1"/>
  <c r="R126" i="1"/>
  <c r="Q126" i="1"/>
  <c r="S125" i="1"/>
  <c r="R125" i="1"/>
  <c r="Q125" i="1"/>
  <c r="S796" i="1"/>
  <c r="R796" i="1"/>
  <c r="Q796" i="1"/>
  <c r="S1011" i="1"/>
  <c r="R1011" i="1"/>
  <c r="Q1011" i="1"/>
  <c r="S1010" i="1"/>
  <c r="R1010" i="1"/>
  <c r="Q1010" i="1"/>
  <c r="S286" i="1"/>
  <c r="R286" i="1"/>
  <c r="Q286" i="1"/>
  <c r="S407" i="1"/>
  <c r="R407" i="1"/>
  <c r="Q407" i="1"/>
  <c r="S25" i="1"/>
  <c r="R25" i="1"/>
  <c r="Q25" i="1"/>
  <c r="S1107" i="1"/>
  <c r="R1107" i="1"/>
  <c r="Q1107" i="1"/>
  <c r="S541" i="1"/>
  <c r="R541" i="1"/>
  <c r="Q541" i="1"/>
  <c r="S578" i="1"/>
  <c r="R578" i="1"/>
  <c r="Q578" i="1"/>
  <c r="S191" i="1"/>
  <c r="R191" i="1"/>
  <c r="Q191" i="1"/>
  <c r="S526" i="1"/>
  <c r="R526" i="1"/>
  <c r="Q526" i="1"/>
  <c r="S1074" i="1"/>
  <c r="R1074" i="1"/>
  <c r="Q1074" i="1"/>
  <c r="S558" i="1"/>
  <c r="R558" i="1"/>
  <c r="Q558" i="1"/>
  <c r="S155" i="1"/>
  <c r="R155" i="1"/>
  <c r="Q155" i="1"/>
  <c r="S302" i="1"/>
  <c r="R302" i="1"/>
  <c r="Q302" i="1"/>
  <c r="S913" i="1"/>
  <c r="R913" i="1"/>
  <c r="Q913" i="1"/>
  <c r="S405" i="1"/>
  <c r="R405" i="1"/>
  <c r="Q405" i="1"/>
  <c r="S184" i="1"/>
  <c r="R184" i="1"/>
  <c r="Q184" i="1"/>
  <c r="S404" i="1"/>
  <c r="R404" i="1"/>
  <c r="Q404" i="1"/>
  <c r="S1009" i="1"/>
  <c r="R1009" i="1"/>
  <c r="Q1009" i="1"/>
  <c r="S403" i="1"/>
  <c r="R403" i="1"/>
  <c r="Q403" i="1"/>
  <c r="S98" i="1"/>
  <c r="R98" i="1"/>
  <c r="Q98" i="1"/>
  <c r="S41" i="1"/>
  <c r="R41" i="1"/>
  <c r="Q41" i="1"/>
  <c r="S402" i="1"/>
  <c r="R402" i="1"/>
  <c r="Q402" i="1"/>
  <c r="S1031" i="1"/>
  <c r="R1031" i="1"/>
  <c r="Q1031" i="1"/>
  <c r="S124" i="1"/>
  <c r="R124" i="1"/>
  <c r="Q124" i="1"/>
  <c r="S401" i="1"/>
  <c r="R401" i="1"/>
  <c r="Q401" i="1"/>
  <c r="S123" i="1"/>
  <c r="R123" i="1"/>
  <c r="Q123" i="1"/>
  <c r="S794" i="1"/>
  <c r="R794" i="1"/>
  <c r="Q794" i="1"/>
  <c r="S400" i="1"/>
  <c r="R400" i="1"/>
  <c r="Q400" i="1"/>
  <c r="S912" i="1"/>
  <c r="R912" i="1"/>
  <c r="Q912" i="1"/>
  <c r="S284" i="1"/>
  <c r="R284" i="1"/>
  <c r="Q284" i="1"/>
  <c r="S183" i="1"/>
  <c r="R183" i="1"/>
  <c r="Q183" i="1"/>
  <c r="S283" i="1"/>
  <c r="R283" i="1"/>
  <c r="Q283" i="1"/>
  <c r="S399" i="1"/>
  <c r="R399" i="1"/>
  <c r="Q399" i="1"/>
  <c r="S282" i="1"/>
  <c r="R282" i="1"/>
  <c r="Q282" i="1"/>
  <c r="S281" i="1"/>
  <c r="R281" i="1"/>
  <c r="Q281" i="1"/>
  <c r="S398" i="1"/>
  <c r="R398" i="1"/>
  <c r="Q398" i="1"/>
  <c r="S280" i="1"/>
  <c r="R280" i="1"/>
  <c r="Q280" i="1"/>
  <c r="S182" i="1"/>
  <c r="R182" i="1"/>
  <c r="Q182" i="1"/>
  <c r="S397" i="1"/>
  <c r="R397" i="1"/>
  <c r="Q397" i="1"/>
  <c r="S396" i="1"/>
  <c r="R396" i="1"/>
  <c r="Q396" i="1"/>
  <c r="S395" i="1"/>
  <c r="R395" i="1"/>
  <c r="Q395" i="1"/>
  <c r="S911" i="1"/>
  <c r="R911" i="1"/>
  <c r="Q911" i="1"/>
  <c r="S793" i="1"/>
  <c r="R793" i="1"/>
  <c r="Q793" i="1"/>
  <c r="S1061" i="1"/>
  <c r="R1061" i="1"/>
  <c r="Q1061" i="1"/>
  <c r="S394" i="1"/>
  <c r="R394" i="1"/>
  <c r="Q394" i="1"/>
  <c r="S393" i="1"/>
  <c r="R393" i="1"/>
  <c r="Q393" i="1"/>
  <c r="S392" i="1"/>
  <c r="R392" i="1"/>
  <c r="Q392" i="1"/>
  <c r="S792" i="1"/>
  <c r="R792" i="1"/>
  <c r="Q792" i="1"/>
  <c r="S1008" i="1"/>
  <c r="R1008" i="1"/>
  <c r="Q1008" i="1"/>
  <c r="S1060" i="1"/>
  <c r="R1060" i="1"/>
  <c r="Q1060" i="1"/>
  <c r="S279" i="1"/>
  <c r="R279" i="1"/>
  <c r="Q279" i="1"/>
  <c r="S391" i="1"/>
  <c r="R391" i="1"/>
  <c r="Q391" i="1"/>
  <c r="S390" i="1"/>
  <c r="R390" i="1"/>
  <c r="Q390" i="1"/>
  <c r="S181" i="1"/>
  <c r="R181" i="1"/>
  <c r="Q181" i="1"/>
  <c r="S278" i="1"/>
  <c r="R278" i="1"/>
  <c r="Q278" i="1"/>
  <c r="S968" i="1"/>
  <c r="R968" i="1"/>
  <c r="Q968" i="1"/>
  <c r="S1007" i="1"/>
  <c r="R1007" i="1"/>
  <c r="Q1007" i="1"/>
  <c r="S967" i="1"/>
  <c r="R967" i="1"/>
  <c r="Q967" i="1"/>
  <c r="S1006" i="1"/>
  <c r="R1006" i="1"/>
  <c r="Q1006" i="1"/>
  <c r="S752" i="1"/>
  <c r="R752" i="1"/>
  <c r="Q752" i="1"/>
  <c r="S791" i="1"/>
  <c r="R791" i="1"/>
  <c r="Q791" i="1"/>
  <c r="S790" i="1"/>
  <c r="R790" i="1"/>
  <c r="Q790" i="1"/>
  <c r="S966" i="1"/>
  <c r="R966" i="1"/>
  <c r="Q966" i="1"/>
  <c r="S789" i="1"/>
  <c r="R789" i="1"/>
  <c r="Q789" i="1"/>
  <c r="S788" i="1"/>
  <c r="R788" i="1"/>
  <c r="Q788" i="1"/>
  <c r="S389" i="1"/>
  <c r="R389" i="1"/>
  <c r="Q389" i="1"/>
  <c r="S787" i="1"/>
  <c r="R787" i="1"/>
  <c r="Q787" i="1"/>
  <c r="S277" i="1"/>
  <c r="R277" i="1"/>
  <c r="Q277" i="1"/>
  <c r="S786" i="1"/>
  <c r="R786" i="1"/>
  <c r="Q786" i="1"/>
  <c r="S785" i="1"/>
  <c r="R785" i="1"/>
  <c r="Q785" i="1"/>
  <c r="S910" i="1"/>
  <c r="R910" i="1"/>
  <c r="Q910" i="1"/>
  <c r="S965" i="1"/>
  <c r="R965" i="1"/>
  <c r="Q965" i="1"/>
  <c r="S1005" i="1"/>
  <c r="R1005" i="1"/>
  <c r="Q1005" i="1"/>
  <c r="S276" i="1"/>
  <c r="R276" i="1"/>
  <c r="Q276" i="1"/>
  <c r="S1098" i="1"/>
  <c r="R1098" i="1"/>
  <c r="Q1098" i="1"/>
  <c r="S784" i="1"/>
  <c r="R784" i="1"/>
  <c r="Q784" i="1"/>
  <c r="S275" i="1"/>
  <c r="R275" i="1"/>
  <c r="Q275" i="1"/>
  <c r="S1108" i="1"/>
  <c r="R1108" i="1"/>
  <c r="Q1108" i="1"/>
  <c r="S180" i="1"/>
  <c r="R180" i="1"/>
  <c r="Q180" i="1"/>
  <c r="S783" i="1"/>
  <c r="R783" i="1"/>
  <c r="Q783" i="1"/>
  <c r="S274" i="1"/>
  <c r="R274" i="1"/>
  <c r="Q274" i="1"/>
  <c r="S1026" i="1"/>
  <c r="R1026" i="1"/>
  <c r="Q1026" i="1"/>
  <c r="S273" i="1"/>
  <c r="R273" i="1"/>
  <c r="Q273" i="1"/>
  <c r="S782" i="1"/>
  <c r="R782" i="1"/>
  <c r="Q782" i="1"/>
  <c r="S1068" i="1"/>
  <c r="R1068" i="1"/>
  <c r="Q1068" i="1"/>
  <c r="S781" i="1"/>
  <c r="R781" i="1"/>
  <c r="Q781" i="1"/>
  <c r="S388" i="1"/>
  <c r="R388" i="1"/>
  <c r="Q388" i="1"/>
  <c r="S387" i="1"/>
  <c r="R387" i="1"/>
  <c r="Q387" i="1"/>
  <c r="S1030" i="1"/>
  <c r="R1030" i="1"/>
  <c r="Q1030" i="1"/>
  <c r="S31" i="1"/>
  <c r="R31" i="1"/>
  <c r="Q31" i="1"/>
  <c r="S1106" i="1"/>
  <c r="R1106" i="1"/>
  <c r="Q1106" i="1"/>
  <c r="S179" i="1"/>
  <c r="R179" i="1"/>
  <c r="Q179" i="1"/>
  <c r="S1029" i="1"/>
  <c r="R1029" i="1"/>
  <c r="Q1029" i="1"/>
  <c r="S101" i="1"/>
  <c r="R101" i="1"/>
  <c r="Q101" i="1"/>
  <c r="S1118" i="1"/>
  <c r="R1118" i="1"/>
  <c r="Q1118" i="1"/>
  <c r="S1094" i="1"/>
  <c r="R1094" i="1"/>
  <c r="Q1094" i="1"/>
  <c r="S1004" i="1"/>
  <c r="R1004" i="1"/>
  <c r="Q1004" i="1"/>
  <c r="S1129" i="1"/>
  <c r="R1129" i="1"/>
  <c r="Q1129" i="1"/>
  <c r="S1047" i="1"/>
  <c r="R1047" i="1"/>
  <c r="Q1047" i="1"/>
  <c r="S122" i="1"/>
  <c r="R122" i="1"/>
  <c r="Q122" i="1"/>
  <c r="S1114" i="1"/>
  <c r="R1114" i="1"/>
  <c r="Q1114" i="1"/>
  <c r="S386" i="1"/>
  <c r="R386" i="1"/>
  <c r="Q386" i="1"/>
  <c r="S223" i="1"/>
  <c r="R223" i="1"/>
  <c r="Q223" i="1"/>
  <c r="S848" i="1"/>
  <c r="R848" i="1"/>
  <c r="Q848" i="1"/>
  <c r="S1075" i="1"/>
  <c r="R1075" i="1"/>
  <c r="Q1075" i="1"/>
  <c r="S112" i="1"/>
  <c r="R112" i="1"/>
  <c r="Q112" i="1"/>
  <c r="S847" i="1"/>
  <c r="R847" i="1"/>
  <c r="Q847" i="1"/>
  <c r="S993" i="1"/>
  <c r="R993" i="1"/>
  <c r="Q993" i="1"/>
  <c r="S821" i="1"/>
  <c r="R821" i="1"/>
  <c r="Q821" i="1"/>
  <c r="S1003" i="1"/>
  <c r="R1003" i="1"/>
  <c r="Q1003" i="1"/>
  <c r="S1062" i="1"/>
  <c r="R1062" i="1"/>
  <c r="Q1062" i="1"/>
  <c r="S96" i="1"/>
  <c r="R96" i="1"/>
  <c r="Q96" i="1"/>
  <c r="S26" i="1"/>
  <c r="R26" i="1"/>
  <c r="Q26" i="1"/>
  <c r="S340" i="1"/>
  <c r="R340" i="1"/>
  <c r="Q340" i="1"/>
  <c r="S751" i="1"/>
  <c r="R751" i="1"/>
  <c r="Q751" i="1"/>
  <c r="S173" i="1"/>
  <c r="R173" i="1"/>
  <c r="Q173" i="1"/>
  <c r="S255" i="1"/>
  <c r="R255" i="1"/>
  <c r="Q255" i="1"/>
  <c r="S164" i="1"/>
  <c r="R164" i="1"/>
  <c r="Q164" i="1"/>
  <c r="S171" i="1"/>
  <c r="R171" i="1"/>
  <c r="Q171" i="1"/>
  <c r="S779" i="1"/>
  <c r="R779" i="1"/>
  <c r="Q779" i="1"/>
  <c r="S36" i="1"/>
  <c r="R36" i="1"/>
  <c r="Q36" i="1"/>
  <c r="S339" i="1"/>
  <c r="R339" i="1"/>
  <c r="Q339" i="1"/>
  <c r="S95" i="1"/>
  <c r="R95" i="1"/>
  <c r="Q95" i="1"/>
  <c r="S359" i="1"/>
  <c r="R359" i="1"/>
  <c r="Q359" i="1"/>
  <c r="S778" i="1"/>
  <c r="R778" i="1"/>
  <c r="Q778" i="1"/>
  <c r="S56" i="1"/>
  <c r="R56" i="1"/>
  <c r="Q56" i="1"/>
  <c r="S2" i="1"/>
  <c r="R2" i="1"/>
  <c r="Q2" i="1"/>
  <c r="S907" i="1"/>
  <c r="R907" i="1"/>
  <c r="Q907" i="1"/>
  <c r="S1002" i="1"/>
  <c r="R1002" i="1"/>
  <c r="Q1002" i="1"/>
  <c r="S381" i="1"/>
  <c r="R381" i="1"/>
  <c r="Q381" i="1"/>
  <c r="S380" i="1"/>
  <c r="R380" i="1"/>
  <c r="Q380" i="1"/>
  <c r="S777" i="1"/>
  <c r="R777" i="1"/>
  <c r="Q777" i="1"/>
  <c r="S363" i="1"/>
  <c r="R363" i="1"/>
  <c r="Q363" i="1"/>
  <c r="S379" i="1"/>
  <c r="R379" i="1"/>
  <c r="Q379" i="1"/>
  <c r="S378" i="1"/>
  <c r="R378" i="1"/>
  <c r="Q378" i="1"/>
  <c r="S750" i="1"/>
  <c r="R750" i="1"/>
  <c r="Q750" i="1"/>
  <c r="S1066" i="1"/>
  <c r="R1066" i="1"/>
  <c r="Q1066" i="1"/>
  <c r="S749" i="1"/>
  <c r="R749" i="1"/>
  <c r="Q749" i="1"/>
  <c r="S1093" i="1"/>
  <c r="R1093" i="1"/>
  <c r="Q1093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65" i="1"/>
  <c r="R65" i="1"/>
  <c r="Q65" i="1"/>
  <c r="S550" i="1"/>
  <c r="R550" i="1"/>
  <c r="Q550" i="1"/>
  <c r="S77" i="1"/>
  <c r="R77" i="1"/>
  <c r="Q77" i="1"/>
  <c r="S608" i="1"/>
  <c r="R608" i="1"/>
  <c r="Q608" i="1"/>
  <c r="S556" i="1"/>
  <c r="R556" i="1"/>
  <c r="Q556" i="1"/>
  <c r="S19" i="1"/>
  <c r="R19" i="1"/>
  <c r="Q19" i="1"/>
  <c r="S272" i="1"/>
  <c r="R272" i="1"/>
  <c r="Q272" i="1"/>
  <c r="S373" i="1"/>
  <c r="R373" i="1"/>
  <c r="Q373" i="1"/>
  <c r="S177" i="1"/>
  <c r="R177" i="1"/>
  <c r="Q177" i="1"/>
  <c r="S372" i="1"/>
  <c r="R372" i="1"/>
  <c r="Q372" i="1"/>
  <c r="S362" i="1"/>
  <c r="R362" i="1"/>
  <c r="Q362" i="1"/>
  <c r="S776" i="1"/>
  <c r="R776" i="1"/>
  <c r="Q776" i="1"/>
  <c r="S52" i="1"/>
  <c r="R52" i="1"/>
  <c r="Q52" i="1"/>
  <c r="S963" i="1"/>
  <c r="R963" i="1"/>
  <c r="Q963" i="1"/>
  <c r="S361" i="1"/>
  <c r="R361" i="1"/>
  <c r="Q361" i="1"/>
  <c r="S371" i="1"/>
  <c r="R371" i="1"/>
  <c r="Q371" i="1"/>
  <c r="S748" i="1"/>
  <c r="R748" i="1"/>
  <c r="Q748" i="1"/>
  <c r="S370" i="1"/>
  <c r="R370" i="1"/>
  <c r="Q370" i="1"/>
  <c r="S66" i="1"/>
  <c r="R66" i="1"/>
  <c r="Q66" i="1"/>
  <c r="S369" i="1"/>
  <c r="R369" i="1"/>
  <c r="Q369" i="1"/>
  <c r="S1076" i="1"/>
  <c r="R1076" i="1"/>
  <c r="Q1076" i="1"/>
  <c r="S582" i="1"/>
  <c r="R582" i="1"/>
  <c r="Q582" i="1"/>
  <c r="S439" i="1"/>
  <c r="R439" i="1"/>
  <c r="Q439" i="1"/>
  <c r="S508" i="1"/>
  <c r="R508" i="1"/>
  <c r="Q508" i="1"/>
  <c r="S152" i="1"/>
  <c r="R152" i="1"/>
  <c r="Q152" i="1"/>
  <c r="S37" i="1"/>
  <c r="R37" i="1"/>
  <c r="Q37" i="1"/>
  <c r="S84" i="1"/>
  <c r="R84" i="1"/>
  <c r="Q84" i="1"/>
  <c r="S780" i="1"/>
  <c r="R780" i="1"/>
  <c r="Q780" i="1"/>
  <c r="S1124" i="1"/>
  <c r="R1124" i="1"/>
  <c r="Q1124" i="1"/>
  <c r="S548" i="1"/>
  <c r="R548" i="1"/>
  <c r="Q548" i="1"/>
  <c r="S845" i="1"/>
  <c r="R845" i="1"/>
  <c r="Q845" i="1"/>
  <c r="S700" i="1"/>
  <c r="R700" i="1"/>
  <c r="Q700" i="1"/>
  <c r="S102" i="1"/>
  <c r="R102" i="1"/>
  <c r="Q102" i="1"/>
  <c r="S366" i="1"/>
  <c r="R366" i="1"/>
  <c r="Q366" i="1"/>
  <c r="S1101" i="1"/>
  <c r="R1101" i="1"/>
  <c r="Q1101" i="1"/>
  <c r="S261" i="1"/>
  <c r="R261" i="1"/>
  <c r="Q261" i="1"/>
  <c r="S1025" i="1"/>
  <c r="R1025" i="1"/>
  <c r="Q1025" i="1"/>
  <c r="S365" i="1"/>
  <c r="R365" i="1"/>
  <c r="Q365" i="1"/>
  <c r="S364" i="1"/>
  <c r="R364" i="1"/>
  <c r="Q364" i="1"/>
  <c r="S770" i="1"/>
  <c r="R770" i="1"/>
  <c r="Q770" i="1"/>
  <c r="S1125" i="1"/>
  <c r="R1125" i="1"/>
  <c r="Q1125" i="1"/>
  <c r="S1073" i="1"/>
  <c r="R1073" i="1"/>
  <c r="Q1073" i="1"/>
  <c r="S1112" i="1"/>
  <c r="R1112" i="1"/>
  <c r="Q1112" i="1"/>
  <c r="S1111" i="1"/>
  <c r="R1111" i="1"/>
  <c r="Q1111" i="1"/>
  <c r="S1067" i="1"/>
  <c r="R1067" i="1"/>
  <c r="Q1067" i="1"/>
  <c r="S905" i="1"/>
  <c r="R905" i="1"/>
  <c r="Q905" i="1"/>
  <c r="S1000" i="1"/>
  <c r="R1000" i="1"/>
  <c r="Q1000" i="1"/>
  <c r="S1077" i="1"/>
  <c r="R1077" i="1"/>
  <c r="Q1077" i="1"/>
  <c r="S271" i="1"/>
  <c r="R271" i="1"/>
  <c r="Q271" i="1"/>
</calcChain>
</file>

<file path=xl/sharedStrings.xml><?xml version="1.0" encoding="utf-8"?>
<sst xmlns="http://schemas.openxmlformats.org/spreadsheetml/2006/main" count="10276" uniqueCount="1721">
  <si>
    <t>bg_new</t>
  </si>
  <si>
    <t>bg</t>
  </si>
  <si>
    <t>lvl1</t>
  </si>
  <si>
    <t>lvl2</t>
  </si>
  <si>
    <t>lvl3</t>
  </si>
  <si>
    <t>lvl4</t>
  </si>
  <si>
    <t>Категория относится к QNF</t>
  </si>
  <si>
    <t>Сезонная</t>
  </si>
  <si>
    <t>Есть в сценарии</t>
  </si>
  <si>
    <t xml:space="preserve"> Эталон МАКСы</t>
  </si>
  <si>
    <t>Эталон 15 мин</t>
  </si>
  <si>
    <t>Эталон МАКС + 15 мин</t>
  </si>
  <si>
    <t>BEAUTY&amp;HEALTH&amp; PHARMA</t>
  </si>
  <si>
    <t>DIY</t>
  </si>
  <si>
    <t>FOODZOO</t>
  </si>
  <si>
    <t>HOBBIES&amp;SCHOOL</t>
  </si>
  <si>
    <t>HOUSEHOLD</t>
  </si>
  <si>
    <t>TOYS</t>
  </si>
  <si>
    <t>Бьюти</t>
  </si>
  <si>
    <t>FMCG DRY</t>
  </si>
  <si>
    <t>БТиЭ</t>
  </si>
  <si>
    <t>Спорт</t>
  </si>
  <si>
    <t>Durable</t>
  </si>
  <si>
    <t>Fashion</t>
  </si>
  <si>
    <t>Детство</t>
  </si>
  <si>
    <t>FMCG FRESH</t>
  </si>
  <si>
    <t>Бады и Витамины</t>
  </si>
  <si>
    <t>Гигиена</t>
  </si>
  <si>
    <t>Уход</t>
  </si>
  <si>
    <t>Товары для взрослых</t>
  </si>
  <si>
    <t>Аптека</t>
  </si>
  <si>
    <t>Компьютеры и аксессуары</t>
  </si>
  <si>
    <t>Парфюмерия и декоративная косметика</t>
  </si>
  <si>
    <t>Бытовая техника и Электроника</t>
  </si>
  <si>
    <t>Специальное питание</t>
  </si>
  <si>
    <t>Спорт и активный отдых</t>
  </si>
  <si>
    <t>Автомобильные товары и запчасти</t>
  </si>
  <si>
    <t>Строительство и ремонт</t>
  </si>
  <si>
    <t>Смартфоны и гаджеты</t>
  </si>
  <si>
    <t>Товары для дома</t>
  </si>
  <si>
    <t>Мебель</t>
  </si>
  <si>
    <t>Ремонт и обустройство дома</t>
  </si>
  <si>
    <t>Бытовая химия</t>
  </si>
  <si>
    <t>Безалкогольные напитки</t>
  </si>
  <si>
    <t>Кофе, какао</t>
  </si>
  <si>
    <t>Обувь</t>
  </si>
  <si>
    <t>Праздничные и сезонные товары</t>
  </si>
  <si>
    <t>Кондитерские изделия</t>
  </si>
  <si>
    <t>Продукция для животных</t>
  </si>
  <si>
    <t>Детские товары</t>
  </si>
  <si>
    <t>Чай</t>
  </si>
  <si>
    <t>Детское питание</t>
  </si>
  <si>
    <t>Детская гигиена и уход</t>
  </si>
  <si>
    <t>Снэки</t>
  </si>
  <si>
    <t>Молочная продукция</t>
  </si>
  <si>
    <t>Мучные кондитерские изделия</t>
  </si>
  <si>
    <t>Бакалея</t>
  </si>
  <si>
    <t>Консервированные продукты</t>
  </si>
  <si>
    <t>Книги, хобби, канцелярия</t>
  </si>
  <si>
    <t>Посуда и кухонные принадлежности</t>
  </si>
  <si>
    <t>Одежда</t>
  </si>
  <si>
    <t>Аксессуары</t>
  </si>
  <si>
    <t>Табачные изделия</t>
  </si>
  <si>
    <t>Бады</t>
  </si>
  <si>
    <t>Витамины</t>
  </si>
  <si>
    <t>Первая помощь</t>
  </si>
  <si>
    <t>Урология</t>
  </si>
  <si>
    <t>Средства личной гигиены</t>
  </si>
  <si>
    <t>Бритье</t>
  </si>
  <si>
    <t>Депиляция</t>
  </si>
  <si>
    <t>Женская гигиена</t>
  </si>
  <si>
    <t>Уход за кожей лица</t>
  </si>
  <si>
    <t>Средства по уходу за волосами</t>
  </si>
  <si>
    <t>Средства для душа</t>
  </si>
  <si>
    <t>Уход за кожей тела</t>
  </si>
  <si>
    <t>Наборы подарочные косметические</t>
  </si>
  <si>
    <t>Аксессуары для ухода</t>
  </si>
  <si>
    <t>Уход за кожей рук</t>
  </si>
  <si>
    <t>Уход за кожей ног</t>
  </si>
  <si>
    <t>Загар (средства для загара)</t>
  </si>
  <si>
    <t>Секс-игрушки</t>
  </si>
  <si>
    <t>Оптические линзы и растворы</t>
  </si>
  <si>
    <t>IT/Office</t>
  </si>
  <si>
    <t>Декоративная косметика</t>
  </si>
  <si>
    <t>Климатическая техника</t>
  </si>
  <si>
    <t>Спортивное питание</t>
  </si>
  <si>
    <t>Тренажеры и фитнес</t>
  </si>
  <si>
    <t>Малая бытовая техника</t>
  </si>
  <si>
    <t>Потребительская электроника</t>
  </si>
  <si>
    <t>Автомобильные товары</t>
  </si>
  <si>
    <t>Автомобильная электроника</t>
  </si>
  <si>
    <t>Масла, технические жидкости</t>
  </si>
  <si>
    <t>Автокосметика и автохимия</t>
  </si>
  <si>
    <t>Комплектующие и аксессуары для ПК</t>
  </si>
  <si>
    <t>Элементы питания</t>
  </si>
  <si>
    <t>Туризм и спелеология</t>
  </si>
  <si>
    <t>Рыбалка</t>
  </si>
  <si>
    <t>Инструменты</t>
  </si>
  <si>
    <t>Электротовары</t>
  </si>
  <si>
    <t>Сантехника</t>
  </si>
  <si>
    <t>Водоснабжение и отопление</t>
  </si>
  <si>
    <t>Смартфоны</t>
  </si>
  <si>
    <t>Telecom</t>
  </si>
  <si>
    <t>Смарт-часы и браслеты</t>
  </si>
  <si>
    <t>Мобильная аксессуарика</t>
  </si>
  <si>
    <t>Уход за зубами и полостью рта</t>
  </si>
  <si>
    <t>Освещение</t>
  </si>
  <si>
    <t>Хранение вещей и одежды и организация порядка</t>
  </si>
  <si>
    <t>Фильтры и системы очистки воды</t>
  </si>
  <si>
    <t>Средства для стирки</t>
  </si>
  <si>
    <t>Мытье посуды</t>
  </si>
  <si>
    <t>Средства для уборки</t>
  </si>
  <si>
    <t>Средства для сантехники</t>
  </si>
  <si>
    <t>Уход за одеждой и обувью</t>
  </si>
  <si>
    <t>Освежители воздуха</t>
  </si>
  <si>
    <t>Диетическое питание</t>
  </si>
  <si>
    <t>Диабетическое питание</t>
  </si>
  <si>
    <t>Воды минеральные</t>
  </si>
  <si>
    <t>Кофе</t>
  </si>
  <si>
    <t>Кофе для капсульных машин</t>
  </si>
  <si>
    <t>Какао, горячий шоколад</t>
  </si>
  <si>
    <t>Уход и аксессуары для обуви</t>
  </si>
  <si>
    <t>Средства защиты от насекомых, грызунов и вредителей</t>
  </si>
  <si>
    <t>Шоколад</t>
  </si>
  <si>
    <t>Плодово-ягодные кондитерские изделия</t>
  </si>
  <si>
    <t>Шоколадные конфеты в коробках</t>
  </si>
  <si>
    <t>Современные кондитерские изделия</t>
  </si>
  <si>
    <t>Пасты кондитерские</t>
  </si>
  <si>
    <t>Восточные сладости</t>
  </si>
  <si>
    <t>Корма и лакомства для кошек</t>
  </si>
  <si>
    <t>Корма и лакомства для собак</t>
  </si>
  <si>
    <t>Наполнители и уход</t>
  </si>
  <si>
    <t>Аксессуары и игрушки</t>
  </si>
  <si>
    <t>Детская комната</t>
  </si>
  <si>
    <t>Мыло туалетное</t>
  </si>
  <si>
    <t>Бумажная продукция</t>
  </si>
  <si>
    <t>Дезодоранты</t>
  </si>
  <si>
    <t>Подарочные наборы чайные</t>
  </si>
  <si>
    <t>Немолочное детское питание</t>
  </si>
  <si>
    <t>Детская гигиена</t>
  </si>
  <si>
    <t>Уход за детьми</t>
  </si>
  <si>
    <t>Орехи и сухофрукты</t>
  </si>
  <si>
    <t>Семечки</t>
  </si>
  <si>
    <t>Масло и маргарин</t>
  </si>
  <si>
    <t>Ингредиенты для готовки</t>
  </si>
  <si>
    <t>Растительные масла</t>
  </si>
  <si>
    <t>Соусы</t>
  </si>
  <si>
    <t>Сладкая консервация</t>
  </si>
  <si>
    <t>Хобби</t>
  </si>
  <si>
    <t>Книги</t>
  </si>
  <si>
    <t>Канцелярия</t>
  </si>
  <si>
    <t>Музыкальные инструменты</t>
  </si>
  <si>
    <t>Игры и игрушки</t>
  </si>
  <si>
    <t>Лакокрасочные материалы</t>
  </si>
  <si>
    <t>Строительные материалы</t>
  </si>
  <si>
    <t>Порядок в доме и уборка</t>
  </si>
  <si>
    <t>Приготовление пищи</t>
  </si>
  <si>
    <t>Текстиль для спальни</t>
  </si>
  <si>
    <t>Хозяйственные товары</t>
  </si>
  <si>
    <t>Хранение посуды и продуктов</t>
  </si>
  <si>
    <t>Уход за бельем и одеждой</t>
  </si>
  <si>
    <t>Декор для дома и ароматы</t>
  </si>
  <si>
    <t>Текстиль для ванной</t>
  </si>
  <si>
    <t>Сервировка стола</t>
  </si>
  <si>
    <t>Домашний текстиль</t>
  </si>
  <si>
    <t>Декор помещений</t>
  </si>
  <si>
    <t>Товары для ванной комнаты</t>
  </si>
  <si>
    <t>Приготовление напитков</t>
  </si>
  <si>
    <t>Семена, удобрения и уход за растениями</t>
  </si>
  <si>
    <t>Подарки</t>
  </si>
  <si>
    <t>Товары для летнего отдыха</t>
  </si>
  <si>
    <t>Обустройство дачи и сада</t>
  </si>
  <si>
    <t>Фильтры для воды кухонные</t>
  </si>
  <si>
    <t>Чулки, носки</t>
  </si>
  <si>
    <t>Бельё</t>
  </si>
  <si>
    <t>Основная одежда</t>
  </si>
  <si>
    <t>Одежда для беременных</t>
  </si>
  <si>
    <t>Прогулки и путешествия</t>
  </si>
  <si>
    <t>Детская одежда</t>
  </si>
  <si>
    <t>Товары для новорожденных</t>
  </si>
  <si>
    <t>Аксессуары для детей</t>
  </si>
  <si>
    <t>Сумки и рюкзаки</t>
  </si>
  <si>
    <t>Аксессуары для путешествий</t>
  </si>
  <si>
    <t>Ремни и пояса</t>
  </si>
  <si>
    <t>Зонты и дождевики</t>
  </si>
  <si>
    <t>Часы и аксессуары</t>
  </si>
  <si>
    <t>Аксессуары прочие</t>
  </si>
  <si>
    <t>Аксессуары для волос</t>
  </si>
  <si>
    <t>Головные уборы</t>
  </si>
  <si>
    <t>Товары для хранения</t>
  </si>
  <si>
    <t>Точные виды спорта</t>
  </si>
  <si>
    <t>Уход за кожей губ</t>
  </si>
  <si>
    <t>Командные виды спорта</t>
  </si>
  <si>
    <t>Уход за проблемной кожей</t>
  </si>
  <si>
    <t>Сопутствующие промышленные товары</t>
  </si>
  <si>
    <t>Пасхальный ассортимент</t>
  </si>
  <si>
    <t>Бижутерия</t>
  </si>
  <si>
    <t>Очки и аксессуары</t>
  </si>
  <si>
    <t>Водные виды спорта</t>
  </si>
  <si>
    <t>Индивидуальный тренинг</t>
  </si>
  <si>
    <t>Летняя обувь</t>
  </si>
  <si>
    <t>Велоспорт</t>
  </si>
  <si>
    <t>Домашняя обувь</t>
  </si>
  <si>
    <t>Крупная бытовая техника</t>
  </si>
  <si>
    <t>Элементы интерьера</t>
  </si>
  <si>
    <t>Запчасти</t>
  </si>
  <si>
    <t>Спортивные игры</t>
  </si>
  <si>
    <t>Домашняя одежда</t>
  </si>
  <si>
    <t>Кеды, кроссовки, слипоны</t>
  </si>
  <si>
    <t>Парфюмерия</t>
  </si>
  <si>
    <t>Влажные салфетки</t>
  </si>
  <si>
    <t>Новогодние товары</t>
  </si>
  <si>
    <t>Текстиль для кухни и столовой</t>
  </si>
  <si>
    <t>Верхняя одежда</t>
  </si>
  <si>
    <t>Зеркала</t>
  </si>
  <si>
    <t>Перчатки и варежки</t>
  </si>
  <si>
    <t>Зимние виды спорта</t>
  </si>
  <si>
    <t>Отделочные материалы</t>
  </si>
  <si>
    <t>Сигареты</t>
  </si>
  <si>
    <t>Крепеж и фурнитура</t>
  </si>
  <si>
    <t>Комплектующие для мебели</t>
  </si>
  <si>
    <t>Корпусная мебель</t>
  </si>
  <si>
    <t>Декор интерьера</t>
  </si>
  <si>
    <t>Садовый инвентарь</t>
  </si>
  <si>
    <t>Шарфы и платки</t>
  </si>
  <si>
    <t>Стики</t>
  </si>
  <si>
    <t>Купальная одежда</t>
  </si>
  <si>
    <t>Боевые искусства и единоборства</t>
  </si>
  <si>
    <t>Мягкая мебель и товары для сна</t>
  </si>
  <si>
    <t>Столы и стулья</t>
  </si>
  <si>
    <t>Бады для волос, ногтей</t>
  </si>
  <si>
    <t>Бады для женского здоровья</t>
  </si>
  <si>
    <t>Бады для ЖКТ</t>
  </si>
  <si>
    <t>Бады для иммунитета</t>
  </si>
  <si>
    <t>Бады для коррекции фигуры</t>
  </si>
  <si>
    <t>Бады для костей и суставов</t>
  </si>
  <si>
    <t>Бады для красоты</t>
  </si>
  <si>
    <t>Бады для мужского здоровья</t>
  </si>
  <si>
    <t>Бады для нервной системы</t>
  </si>
  <si>
    <t>Бады для памяти, внимания</t>
  </si>
  <si>
    <t>Бады для почек, печени</t>
  </si>
  <si>
    <t>Бады для сердца, сосудов</t>
  </si>
  <si>
    <t>Бады для спорта и фитнеса</t>
  </si>
  <si>
    <t>Витамины жидкие, растворимые</t>
  </si>
  <si>
    <t>Витамины таблетированные</t>
  </si>
  <si>
    <t>Леденцы, пастилки</t>
  </si>
  <si>
    <t>Расходные материалы</t>
  </si>
  <si>
    <t>Уход за ранами</t>
  </si>
  <si>
    <t>Впитывающие простыни</t>
  </si>
  <si>
    <t>Подгузники и впитывающее белье для взрослых</t>
  </si>
  <si>
    <t>Урологические прокладки</t>
  </si>
  <si>
    <t>Перчатки гигиенические</t>
  </si>
  <si>
    <t>Презервативы и Лубриканты</t>
  </si>
  <si>
    <t>Бритвы и лезвия</t>
  </si>
  <si>
    <t>Для бритья</t>
  </si>
  <si>
    <t>Депиляционные средства</t>
  </si>
  <si>
    <t>Товары для мам</t>
  </si>
  <si>
    <t>Кремы</t>
  </si>
  <si>
    <t>Маски для лица</t>
  </si>
  <si>
    <t>Очищение</t>
  </si>
  <si>
    <t>Сыворотки</t>
  </si>
  <si>
    <t>Бальзамы и кондиционеры</t>
  </si>
  <si>
    <t>Краска для волос</t>
  </si>
  <si>
    <t>Лечение волос</t>
  </si>
  <si>
    <t>Средства для укладки и стайлинга волос</t>
  </si>
  <si>
    <t>Шампуни</t>
  </si>
  <si>
    <t>Женские гели</t>
  </si>
  <si>
    <t>Мужские гели</t>
  </si>
  <si>
    <t>Средства для ванн</t>
  </si>
  <si>
    <t>Коррекция</t>
  </si>
  <si>
    <t>Лечебный уход за кожей тела</t>
  </si>
  <si>
    <t>Скрабы и пилинги</t>
  </si>
  <si>
    <t>Увлажнение и питание кожи тела</t>
  </si>
  <si>
    <t>Наборы подарочные косметические женские</t>
  </si>
  <si>
    <t>Аксессуары для лица и тела</t>
  </si>
  <si>
    <t>Спец. уход за кожей рук(скрабы,пилинги,ванночки)</t>
  </si>
  <si>
    <t>Увлажнение и питание кожи рук</t>
  </si>
  <si>
    <t>Увлажнение и питание кожи ног</t>
  </si>
  <si>
    <t>Средства для загара</t>
  </si>
  <si>
    <t>Анальные стимуляторы</t>
  </si>
  <si>
    <t>Вагинальные тренажёры</t>
  </si>
  <si>
    <t>Вибраторы</t>
  </si>
  <si>
    <t>Мастурбаторы</t>
  </si>
  <si>
    <t>Мобильные и стационарные компьютеры</t>
  </si>
  <si>
    <t>Для бровей</t>
  </si>
  <si>
    <t>Для глаз</t>
  </si>
  <si>
    <t>Для губ</t>
  </si>
  <si>
    <t>Для лица</t>
  </si>
  <si>
    <t>Для ногтей</t>
  </si>
  <si>
    <t>Системы очистки и обработки воздуха</t>
  </si>
  <si>
    <t>Витамины и минералы</t>
  </si>
  <si>
    <t>Готовое спортивное питание</t>
  </si>
  <si>
    <t>Протеины, гейнеры, креатины</t>
  </si>
  <si>
    <t>Спортивные напитки и энергетики</t>
  </si>
  <si>
    <t>Средства для суставов и связок</t>
  </si>
  <si>
    <t>Прочая малая бытовая техника</t>
  </si>
  <si>
    <t>Техника для дома</t>
  </si>
  <si>
    <t>Техника для красоты и здоровья</t>
  </si>
  <si>
    <t>Техника для кухни</t>
  </si>
  <si>
    <t>Техника для приготовления кофе</t>
  </si>
  <si>
    <t>Аксессуары для телевизоров</t>
  </si>
  <si>
    <t>Аудиотехника</t>
  </si>
  <si>
    <t>Игровые приставки</t>
  </si>
  <si>
    <t>Фото и видеотехника</t>
  </si>
  <si>
    <t>Авто свет и лампы</t>
  </si>
  <si>
    <t>Автоаккумуляторы и зарядные устройства для автомобилей</t>
  </si>
  <si>
    <t>Автоинструмент</t>
  </si>
  <si>
    <t>Автопринадлежности</t>
  </si>
  <si>
    <t>Аксессуары для автомобилей</t>
  </si>
  <si>
    <t>Противоугонные устройства</t>
  </si>
  <si>
    <t>Доп. оборудование для автоэлектроники</t>
  </si>
  <si>
    <t>Навигаторы, радар-детекторы и регистраторы</t>
  </si>
  <si>
    <t>Масло моторное</t>
  </si>
  <si>
    <t>Присадки и промывки</t>
  </si>
  <si>
    <t>Кузов</t>
  </si>
  <si>
    <t>Очистители салона</t>
  </si>
  <si>
    <t>Оргтехника</t>
  </si>
  <si>
    <t>Сетевое оборудование</t>
  </si>
  <si>
    <t>Электронные книги</t>
  </si>
  <si>
    <t>Игровые аксессуары, микрофоны и наушники</t>
  </si>
  <si>
    <t>Компьютерные комплектующие</t>
  </si>
  <si>
    <t>Мыши и клавиатуры</t>
  </si>
  <si>
    <t>Аккумуляторы, зарядные устройства</t>
  </si>
  <si>
    <t>Батарейки</t>
  </si>
  <si>
    <t>Туризм</t>
  </si>
  <si>
    <t>Эхолоты и камеры для рыбалки</t>
  </si>
  <si>
    <t>Оборудование</t>
  </si>
  <si>
    <t>Ручной инструмент</t>
  </si>
  <si>
    <t>Средства индивидуальной защиты (СИЗ)</t>
  </si>
  <si>
    <t>Электроинструмент</t>
  </si>
  <si>
    <t>Безопасность и комфорт дома</t>
  </si>
  <si>
    <t>Электрические щиты/Кабельканалы/Кабель</t>
  </si>
  <si>
    <t>Унитазы/Сливные баки/Биде</t>
  </si>
  <si>
    <t>Приборы учета и измерений</t>
  </si>
  <si>
    <t>Смартфоны прочие</t>
  </si>
  <si>
    <t>Смартфоны Android</t>
  </si>
  <si>
    <t>Аудиотехника для гаджетов</t>
  </si>
  <si>
    <t>Планшеты Wi-Fi</t>
  </si>
  <si>
    <t>Смарт-часы</t>
  </si>
  <si>
    <t>Аксессуары для планшетов</t>
  </si>
  <si>
    <t>Аксессуары для телефонов и планшетов</t>
  </si>
  <si>
    <t>Зарядные устройства для гаджетов</t>
  </si>
  <si>
    <t>Зубные щетки и насадки</t>
  </si>
  <si>
    <t>Умный дом</t>
  </si>
  <si>
    <t>Вешалки для одежды</t>
  </si>
  <si>
    <t>Очистка воды</t>
  </si>
  <si>
    <t>Жидкие средства для стирки</t>
  </si>
  <si>
    <t>Ополаскиватели для белья</t>
  </si>
  <si>
    <t>Отбеливатели</t>
  </si>
  <si>
    <t>Сухие средства для стирки</t>
  </si>
  <si>
    <t>Таблетированные средства для стирки</t>
  </si>
  <si>
    <t>Средства для автоматического мытья посуды</t>
  </si>
  <si>
    <t>Средства для ручного мытья посуды</t>
  </si>
  <si>
    <t>Уход за коврами и мебелью</t>
  </si>
  <si>
    <t>Чистящие средства</t>
  </si>
  <si>
    <t>Средства для прочистки труб и стоков</t>
  </si>
  <si>
    <t>Уход за обувью</t>
  </si>
  <si>
    <t>Аэрозольные освежители воздуха</t>
  </si>
  <si>
    <t>Зерна, пророщенные злаки</t>
  </si>
  <si>
    <t>Отруби, клетчатка</t>
  </si>
  <si>
    <t>Заменители сахара</t>
  </si>
  <si>
    <t>Кофе натуральный</t>
  </si>
  <si>
    <t>Кофе в капсулах</t>
  </si>
  <si>
    <t>Горячий шоколад</t>
  </si>
  <si>
    <t>Аксессуары для ухода за обувью</t>
  </si>
  <si>
    <t>Средства для борьбы с летающими насекомыми</t>
  </si>
  <si>
    <t>Средства для борьбы с ползающими насекомыми</t>
  </si>
  <si>
    <t>Шоколад плиточный</t>
  </si>
  <si>
    <t>Батончики</t>
  </si>
  <si>
    <t>Шоколад фигурный</t>
  </si>
  <si>
    <t>Влажные корма для кошек и котят</t>
  </si>
  <si>
    <t>Сухие корма для кошек и котят</t>
  </si>
  <si>
    <t>Лакомства для собак</t>
  </si>
  <si>
    <t>Сухие корма для собак</t>
  </si>
  <si>
    <t>Наполнители</t>
  </si>
  <si>
    <t>Игрушки для кошек</t>
  </si>
  <si>
    <t>Товары для кормления кошек</t>
  </si>
  <si>
    <t>Безопасность ребенка</t>
  </si>
  <si>
    <t>Ополаскиватели и бальзамы</t>
  </si>
  <si>
    <t>Пасты зубные</t>
  </si>
  <si>
    <t>Прочие средства для ухода за полостью рта</t>
  </si>
  <si>
    <t>Мыло жидкое</t>
  </si>
  <si>
    <t>Мыло кусковое</t>
  </si>
  <si>
    <t>Бумажные салфетки и платки</t>
  </si>
  <si>
    <t>Туалетная бумага</t>
  </si>
  <si>
    <t>Ватная продукция</t>
  </si>
  <si>
    <t>Дезодоранты женские</t>
  </si>
  <si>
    <t>Прокладки и тампоны</t>
  </si>
  <si>
    <t>Смеси детские</t>
  </si>
  <si>
    <t>Влажные салфетки детские</t>
  </si>
  <si>
    <t>Одноразовые пеленки</t>
  </si>
  <si>
    <t>Подгузники</t>
  </si>
  <si>
    <t>Детский уход за полостью рта</t>
  </si>
  <si>
    <t>Орехи</t>
  </si>
  <si>
    <t>Семечки подсолнечника</t>
  </si>
  <si>
    <t>Масло коровье</t>
  </si>
  <si>
    <t>Вафли</t>
  </si>
  <si>
    <t>Добавки для теста</t>
  </si>
  <si>
    <t>Пищевые кислоты</t>
  </si>
  <si>
    <t>Оливковое масло</t>
  </si>
  <si>
    <t>Соусы прочие</t>
  </si>
  <si>
    <t>Джемы</t>
  </si>
  <si>
    <t>Мед</t>
  </si>
  <si>
    <t>Топпинги, сиропы</t>
  </si>
  <si>
    <t>Моделирование</t>
  </si>
  <si>
    <t>Настольные игры</t>
  </si>
  <si>
    <t>Поделки и рукоделие</t>
  </si>
  <si>
    <t>Товары для рисования</t>
  </si>
  <si>
    <t>Детская художественная литература</t>
  </si>
  <si>
    <t>Детские энциклопедии</t>
  </si>
  <si>
    <t>Дом и досуг</t>
  </si>
  <si>
    <t>Искусство, мода, дизайн</t>
  </si>
  <si>
    <t>Книги для ВУЗов</t>
  </si>
  <si>
    <t>Книги для детей и родителей</t>
  </si>
  <si>
    <t>Книги для ДОУ</t>
  </si>
  <si>
    <t>Комиксы и артбуки</t>
  </si>
  <si>
    <t>Научно-популярные</t>
  </si>
  <si>
    <t>Развивающая литература</t>
  </si>
  <si>
    <t>Религия</t>
  </si>
  <si>
    <t>Самоучители</t>
  </si>
  <si>
    <t>Спорт, красота и здоровье</t>
  </si>
  <si>
    <t>Учебная литература</t>
  </si>
  <si>
    <t>Художественная литература</t>
  </si>
  <si>
    <t>Эзотерика и парапсихология, таро</t>
  </si>
  <si>
    <t>Экономика и бизнес</t>
  </si>
  <si>
    <t>Организация рабочего места</t>
  </si>
  <si>
    <t>Пишущие принадлежности</t>
  </si>
  <si>
    <t>Гитарные аксессуары</t>
  </si>
  <si>
    <t>Перкуссия</t>
  </si>
  <si>
    <t>Хобби и творчество</t>
  </si>
  <si>
    <t>Краски</t>
  </si>
  <si>
    <t>Сухие смеси</t>
  </si>
  <si>
    <t>Мусорные ведра и контейнеры</t>
  </si>
  <si>
    <t>Кастрюли, сковороды, пароварки, горшки</t>
  </si>
  <si>
    <t>Крышки и ручки для посуды</t>
  </si>
  <si>
    <t>Кухонная утварь</t>
  </si>
  <si>
    <t>Разделка и нарезка продуктов</t>
  </si>
  <si>
    <t>Товары для выпечки и запекания</t>
  </si>
  <si>
    <t>Товары для выпечки и приготовления</t>
  </si>
  <si>
    <t>Матрасы и наматрасники</t>
  </si>
  <si>
    <t>Подушки и наволочки декоративные</t>
  </si>
  <si>
    <t>Подушки и одеяла</t>
  </si>
  <si>
    <t>Постельное белье</t>
  </si>
  <si>
    <t>Веники, щетки и совки</t>
  </si>
  <si>
    <t>Уборка в кухне, ванной и туалете</t>
  </si>
  <si>
    <t>Швабры и насадки</t>
  </si>
  <si>
    <t>Товары для уборки</t>
  </si>
  <si>
    <t>Хранение посуды</t>
  </si>
  <si>
    <t>Хранение продуктов</t>
  </si>
  <si>
    <t>Стирка белья</t>
  </si>
  <si>
    <t>Сушка белья и обуви</t>
  </si>
  <si>
    <t>Уход за одеждой</t>
  </si>
  <si>
    <t>Настенно-потолочные, напольные, настольные, декоративные светильники</t>
  </si>
  <si>
    <t>Светильники и прожекторы</t>
  </si>
  <si>
    <t>Электрические лампы</t>
  </si>
  <si>
    <t>Диффузоры, масла, духи, свечи</t>
  </si>
  <si>
    <t>Полотенце</t>
  </si>
  <si>
    <t>Столовая посуда</t>
  </si>
  <si>
    <t>Столовые приборы</t>
  </si>
  <si>
    <t>Декор окна</t>
  </si>
  <si>
    <t>Декоративные объекты</t>
  </si>
  <si>
    <t>Аксессуары для ванной комнаты</t>
  </si>
  <si>
    <t>Приготовление чая и кофе</t>
  </si>
  <si>
    <t>Выращивание рассады</t>
  </si>
  <si>
    <t>Теплицы и парники</t>
  </si>
  <si>
    <t>Удобрения для сада</t>
  </si>
  <si>
    <t>Фермы для растений, коврики, проращиватели</t>
  </si>
  <si>
    <t>Подарочные наборы</t>
  </si>
  <si>
    <t>Барбекю, грили, коптильни, аксессуары</t>
  </si>
  <si>
    <t>Бассейны и аксессуары</t>
  </si>
  <si>
    <t>Товары для приготовления алкоголя</t>
  </si>
  <si>
    <t>Биотуалеты и умывальники</t>
  </si>
  <si>
    <t>Садовые ограждения, подставки, опоры для растений</t>
  </si>
  <si>
    <t>Фильтры-кувшины</t>
  </si>
  <si>
    <t>Водоснабжение</t>
  </si>
  <si>
    <t>Хранение вещей и одежды</t>
  </si>
  <si>
    <t>Чулочно-носочные изделия для женщин</t>
  </si>
  <si>
    <t>Чулочно-носочные изделия для мужчин</t>
  </si>
  <si>
    <t>Белье для женщин</t>
  </si>
  <si>
    <t>Белье для мужчин</t>
  </si>
  <si>
    <t>Основная одежда для женщин</t>
  </si>
  <si>
    <t>Основная одежда для мужчин</t>
  </si>
  <si>
    <t>Игрушки для всех</t>
  </si>
  <si>
    <t>Игрушки для девочек</t>
  </si>
  <si>
    <t>Игрушки для малышей</t>
  </si>
  <si>
    <t>Игрушки для мальчиков</t>
  </si>
  <si>
    <t>Настольные игры детские</t>
  </si>
  <si>
    <t>Спорт и активный отдых детей</t>
  </si>
  <si>
    <t>Аксессуары для кормления</t>
  </si>
  <si>
    <t>Мебель для детской комнаты</t>
  </si>
  <si>
    <t>Коляски и детские автокресла</t>
  </si>
  <si>
    <t>Слинги, рюкзаки, переноски и сумки для родителей</t>
  </si>
  <si>
    <t>Одежда для мальчиков</t>
  </si>
  <si>
    <t>Ванная комната</t>
  </si>
  <si>
    <t>Детские аксессуары для волос</t>
  </si>
  <si>
    <t>Аксессуары для обуви</t>
  </si>
  <si>
    <t>Рюкзаки для женщин</t>
  </si>
  <si>
    <t>Рюкзаки для мужчин</t>
  </si>
  <si>
    <t>Сумки для женщин</t>
  </si>
  <si>
    <t>Сумки для мужчин</t>
  </si>
  <si>
    <t>Аксессуары для путешествий и багажа</t>
  </si>
  <si>
    <t>Прочие аксессуары для путешествий</t>
  </si>
  <si>
    <t>Чемоданы и дорожные сумки</t>
  </si>
  <si>
    <t>Ремни и пояса для женщин</t>
  </si>
  <si>
    <t>Ремни и пояса для мужчин</t>
  </si>
  <si>
    <t>Кошельки и картхолдеры</t>
  </si>
  <si>
    <t>Резинки</t>
  </si>
  <si>
    <t>Головные уборы для женщин</t>
  </si>
  <si>
    <t>Книги и учебные материалы для СПО</t>
  </si>
  <si>
    <t>Мыло детское</t>
  </si>
  <si>
    <t>Средства для купания детей</t>
  </si>
  <si>
    <t>Уход за кожей ребенка</t>
  </si>
  <si>
    <t>Скобяные изделия</t>
  </si>
  <si>
    <t>Коллекционирование</t>
  </si>
  <si>
    <t>Товары для праздника</t>
  </si>
  <si>
    <t>Подарочные конверты</t>
  </si>
  <si>
    <t>Заколки</t>
  </si>
  <si>
    <t>Подарочный пакет</t>
  </si>
  <si>
    <t>Уход за собаками</t>
  </si>
  <si>
    <t>Аксессуары для ухода за одеждой</t>
  </si>
  <si>
    <t>Масла для лица</t>
  </si>
  <si>
    <t>Фары и стекла</t>
  </si>
  <si>
    <t>Автозагары</t>
  </si>
  <si>
    <t>Увлажнение и питание губ</t>
  </si>
  <si>
    <t>Мытье окон</t>
  </si>
  <si>
    <t>Груминг для кошек</t>
  </si>
  <si>
    <t>Лотки и совки</t>
  </si>
  <si>
    <t>Спец. уход за кожей ног(скрабы, пилинги, ванночки)</t>
  </si>
  <si>
    <t>Прочие средства для душа</t>
  </si>
  <si>
    <t>Лечебный уход за кожей ног</t>
  </si>
  <si>
    <t>Ободки</t>
  </si>
  <si>
    <t>Краска для бровей и ресниц</t>
  </si>
  <si>
    <t>Футбол</t>
  </si>
  <si>
    <t>Принадлежности для черчения</t>
  </si>
  <si>
    <t>Прочие детские аксессуары</t>
  </si>
  <si>
    <t>Груминг для собак</t>
  </si>
  <si>
    <t>Амуниция для кошек</t>
  </si>
  <si>
    <t>Уход (лечебный)</t>
  </si>
  <si>
    <t>Офисная периферия</t>
  </si>
  <si>
    <t>Игрушки для собак</t>
  </si>
  <si>
    <t>Уход за бородой</t>
  </si>
  <si>
    <t>Амуниция для собак</t>
  </si>
  <si>
    <t>Аксессуары для смартфонов</t>
  </si>
  <si>
    <t>Промышленные товары прочие</t>
  </si>
  <si>
    <t>Пасхальные наборы</t>
  </si>
  <si>
    <t>Бижутерия общее</t>
  </si>
  <si>
    <t>Открытки</t>
  </si>
  <si>
    <t>Солнцезащитные очки и оправы для женщин</t>
  </si>
  <si>
    <t>Операторы сотовой связи</t>
  </si>
  <si>
    <t>Туалеты и пеленки</t>
  </si>
  <si>
    <t>Одежда для собак</t>
  </si>
  <si>
    <t>Скрабы и пилинги для кожи головы</t>
  </si>
  <si>
    <t>Спреи</t>
  </si>
  <si>
    <t>Товары для кормления собак</t>
  </si>
  <si>
    <t>Уход за кошками</t>
  </si>
  <si>
    <t>Плавание</t>
  </si>
  <si>
    <t>Чулочно-носочная продукция</t>
  </si>
  <si>
    <t>Детская бижутерия</t>
  </si>
  <si>
    <t>Коррекция поведения и поглотители запаха</t>
  </si>
  <si>
    <t>Лежаки и домики для собак</t>
  </si>
  <si>
    <t>Лежаки и домики для кошек</t>
  </si>
  <si>
    <t>Косметички</t>
  </si>
  <si>
    <t>Наборы декоративной косметики подарочные</t>
  </si>
  <si>
    <t>Аксессуары для путешествий и поездок</t>
  </si>
  <si>
    <t>Прочая потребительская электроника</t>
  </si>
  <si>
    <t>Фитнес</t>
  </si>
  <si>
    <t>Солнцезащитные очки и оправы для мужчин</t>
  </si>
  <si>
    <t>Летняя обувь для женщин</t>
  </si>
  <si>
    <t>Велоаксессуары</t>
  </si>
  <si>
    <t>Летняя обувь для мужчин</t>
  </si>
  <si>
    <t>Бижутерия для женщин</t>
  </si>
  <si>
    <t>Вентиляторы</t>
  </si>
  <si>
    <t>Повязки</t>
  </si>
  <si>
    <t>Ароматизаторы в машину</t>
  </si>
  <si>
    <t>Сумки</t>
  </si>
  <si>
    <t>Детское нижнее бельё</t>
  </si>
  <si>
    <t>Кабели и переходники</t>
  </si>
  <si>
    <t>Сумки, рюкзаки и ранцы</t>
  </si>
  <si>
    <t>Аксессуары для Крупно бытовой техники</t>
  </si>
  <si>
    <t>Бытовая техника для детской</t>
  </si>
  <si>
    <t>Свечи интерьерные</t>
  </si>
  <si>
    <t>Крепеж</t>
  </si>
  <si>
    <t>Глаженье белья</t>
  </si>
  <si>
    <t>Средства после загара</t>
  </si>
  <si>
    <t>Баскетбол</t>
  </si>
  <si>
    <t>Демонстрационное оборудование</t>
  </si>
  <si>
    <t>Наборы подарочные косметические детские</t>
  </si>
  <si>
    <t>Теннис</t>
  </si>
  <si>
    <t>Рюкзаки</t>
  </si>
  <si>
    <t>Домашняя одежда для женщин</t>
  </si>
  <si>
    <t>Очищение (лечебное)</t>
  </si>
  <si>
    <t>Туфли, балетки, босоножки для женщин</t>
  </si>
  <si>
    <t>Кеды, кроссовки, слипоны для женщин</t>
  </si>
  <si>
    <t>Одеколоны, духи, воды</t>
  </si>
  <si>
    <t>Влажные корма для собак</t>
  </si>
  <si>
    <t>Одноразовая посуда</t>
  </si>
  <si>
    <t>Влажные салфетки для экранов и оптики</t>
  </si>
  <si>
    <t>Клеи и герметики</t>
  </si>
  <si>
    <t>Аксессуары для сервировки</t>
  </si>
  <si>
    <t>Смягчители воды</t>
  </si>
  <si>
    <t>Аксессуары для освещения</t>
  </si>
  <si>
    <t>Хвойные украшения</t>
  </si>
  <si>
    <t>Новогодние украшения для дома</t>
  </si>
  <si>
    <t>Посуда из пластика</t>
  </si>
  <si>
    <t>Бадминтон</t>
  </si>
  <si>
    <t>Елочные украшения</t>
  </si>
  <si>
    <t>Дезодоранты мужские</t>
  </si>
  <si>
    <t>Детская влажная туалетная бумага</t>
  </si>
  <si>
    <t>Баня и сауна</t>
  </si>
  <si>
    <t>Влажные салфетки для личной гигиены</t>
  </si>
  <si>
    <t>Новогодние сувениры и аксессуары</t>
  </si>
  <si>
    <t>Скатерти и клеенки</t>
  </si>
  <si>
    <t>Салюты, петарды, фейерверки</t>
  </si>
  <si>
    <t>Верхняя одежда для мужчин</t>
  </si>
  <si>
    <t>Питьевое стекло</t>
  </si>
  <si>
    <t>Термосумки и автохолодильники</t>
  </si>
  <si>
    <t>Товары для пикника</t>
  </si>
  <si>
    <t>Новогодние аксессуары</t>
  </si>
  <si>
    <t>Цветочные кашпо и горшки для сада</t>
  </si>
  <si>
    <t>Диагностические тесты</t>
  </si>
  <si>
    <t>Бальзамы для губ детские</t>
  </si>
  <si>
    <t>Зеркала интерьерные</t>
  </si>
  <si>
    <t>Детские средства для стирки</t>
  </si>
  <si>
    <t>Маски защитные</t>
  </si>
  <si>
    <t>Влажные салфетки для уборки</t>
  </si>
  <si>
    <t>Доски и водные лыжи</t>
  </si>
  <si>
    <t>Электрические гирлянды</t>
  </si>
  <si>
    <t>Интерьерные освежители воздуха</t>
  </si>
  <si>
    <t>Фартуки, прихватки, кухонные полотенца</t>
  </si>
  <si>
    <t>Гирлянды, мишура</t>
  </si>
  <si>
    <t>Новогодние ели</t>
  </si>
  <si>
    <t>После бритья</t>
  </si>
  <si>
    <t>Одежда для горных лыж и сноуборда</t>
  </si>
  <si>
    <t>Пятновыводители</t>
  </si>
  <si>
    <t>Новогоднее освещение</t>
  </si>
  <si>
    <t>Хозяйственное мыло</t>
  </si>
  <si>
    <t>Средства для розжига, уголь, дрова</t>
  </si>
  <si>
    <t>Декор</t>
  </si>
  <si>
    <t>Товары для хозяйственных нужд</t>
  </si>
  <si>
    <t>Коврик для ванной комнаты</t>
  </si>
  <si>
    <t>Смесители</t>
  </si>
  <si>
    <t>Автоматические освежители воздуха</t>
  </si>
  <si>
    <t>Карнавальные принадлежности</t>
  </si>
  <si>
    <t>Сетевые адаптеры</t>
  </si>
  <si>
    <t>Дезинфицирующие средства для сантехники</t>
  </si>
  <si>
    <t>Ватная продукция детская</t>
  </si>
  <si>
    <t>Полки, держатели, органайзеры</t>
  </si>
  <si>
    <t>Лакомства для кошек и котят</t>
  </si>
  <si>
    <t>Прочее</t>
  </si>
  <si>
    <t>Светодиодная лента, гибкий неон, дюралайт</t>
  </si>
  <si>
    <t>Малые формы</t>
  </si>
  <si>
    <t>Ковры и гобелены</t>
  </si>
  <si>
    <t>Уличное и садовое освещение</t>
  </si>
  <si>
    <t>Инвентарь для сада</t>
  </si>
  <si>
    <t>Карнавальные костюмы и аксессуары</t>
  </si>
  <si>
    <t>Формы и приспособления для приготовления</t>
  </si>
  <si>
    <t>Контрольно-измерительный инструмент</t>
  </si>
  <si>
    <t>Канализация и системы слива</t>
  </si>
  <si>
    <t>Бады прочие</t>
  </si>
  <si>
    <t>Кеды, кроссовки, слипоны для мужчин</t>
  </si>
  <si>
    <t>Аксессуары для душа</t>
  </si>
  <si>
    <t>Одежда для девочек</t>
  </si>
  <si>
    <t>Шарфы, платки для женщин</t>
  </si>
  <si>
    <t>Консервирование</t>
  </si>
  <si>
    <t>Товары для консервирования</t>
  </si>
  <si>
    <t>Бумажные полотенца</t>
  </si>
  <si>
    <t>Блоки для унитаза</t>
  </si>
  <si>
    <t>Упаковочная бумага</t>
  </si>
  <si>
    <t>Смартфоны Apple</t>
  </si>
  <si>
    <t>Антисептики</t>
  </si>
  <si>
    <t>Одежда для купания для женщин</t>
  </si>
  <si>
    <t>Одежда для малышей</t>
  </si>
  <si>
    <t>Наборы подарочные детские</t>
  </si>
  <si>
    <t>Дверная фурнитура</t>
  </si>
  <si>
    <t>Обогревательные приборы</t>
  </si>
  <si>
    <t>Галстуки и бабочки</t>
  </si>
  <si>
    <t>Головные уборы для мужчин</t>
  </si>
  <si>
    <t>Велоэкипировка</t>
  </si>
  <si>
    <t>Верхняя одежда для женщин</t>
  </si>
  <si>
    <t>Аксессуары рыболовные</t>
  </si>
  <si>
    <t>Покрывала и пледы</t>
  </si>
  <si>
    <t>Телевизоры</t>
  </si>
  <si>
    <t>Бокс</t>
  </si>
  <si>
    <t>Напольные покрытия</t>
  </si>
  <si>
    <t>Аксессуары общие</t>
  </si>
  <si>
    <t>Средства для загара детские</t>
  </si>
  <si>
    <t>Рыболовные приманки и прикормки</t>
  </si>
  <si>
    <t>Снаряжение для единоборств и боевых искусств</t>
  </si>
  <si>
    <t>Пуфы, банкетки и оттоманки</t>
  </si>
  <si>
    <t>Периодические издания</t>
  </si>
  <si>
    <t>Подарочная коробка</t>
  </si>
  <si>
    <t>Наборы подарочные косметические мужские</t>
  </si>
  <si>
    <t>Салфетки для авто</t>
  </si>
  <si>
    <t>Столы, столики и консоли</t>
  </si>
  <si>
    <t>Кондиционеры</t>
  </si>
  <si>
    <t>Автозапчасти общая</t>
  </si>
  <si>
    <t>Прочие</t>
  </si>
  <si>
    <t>Подгузники для взрослых</t>
  </si>
  <si>
    <t>Перчатки нитриловые</t>
  </si>
  <si>
    <t>Лубриканты</t>
  </si>
  <si>
    <t>Презервативы</t>
  </si>
  <si>
    <t>Системные кассеты</t>
  </si>
  <si>
    <t>Для бритья гели</t>
  </si>
  <si>
    <t>Депиляционные воски</t>
  </si>
  <si>
    <t>Вкладыши в бюстгалтер</t>
  </si>
  <si>
    <t>Кремы уход</t>
  </si>
  <si>
    <t>Маски-саше прочие</t>
  </si>
  <si>
    <t>Маски-саше тканевые</t>
  </si>
  <si>
    <t>Патчи</t>
  </si>
  <si>
    <t>Молочко</t>
  </si>
  <si>
    <t>Тоник</t>
  </si>
  <si>
    <t>Умывание</t>
  </si>
  <si>
    <t>Сыворотки для лица</t>
  </si>
  <si>
    <t>Оттеночные и тонирующие средства</t>
  </si>
  <si>
    <t>Средства для лечения себореи, псориаза, аллопеции</t>
  </si>
  <si>
    <t>Гель, воск, прочее</t>
  </si>
  <si>
    <t>Лак, жидкость для фиксации волос</t>
  </si>
  <si>
    <t>Пена(мусс), жидкость для укладки волос</t>
  </si>
  <si>
    <t>Шампуни женские</t>
  </si>
  <si>
    <t>Шампуни мужские</t>
  </si>
  <si>
    <t>Шампуни сухие и твердые</t>
  </si>
  <si>
    <t>Соли для ванн</t>
  </si>
  <si>
    <t>Ранозаживляющие средства</t>
  </si>
  <si>
    <t>Аксессуары для тела</t>
  </si>
  <si>
    <t>Массажеры</t>
  </si>
  <si>
    <t>Защита от солнца</t>
  </si>
  <si>
    <t>Массажёры простаты</t>
  </si>
  <si>
    <t>Вагинальные шарики со смещённым центром тяжести</t>
  </si>
  <si>
    <t>Вибропули</t>
  </si>
  <si>
    <t>Классические вибраторы</t>
  </si>
  <si>
    <t>Наладонные мастурбаторы</t>
  </si>
  <si>
    <t>Оптические линзы</t>
  </si>
  <si>
    <t>Растворы</t>
  </si>
  <si>
    <t>Очки для компьютера</t>
  </si>
  <si>
    <t>Спонжи</t>
  </si>
  <si>
    <t>Гели для бровей</t>
  </si>
  <si>
    <t>Карандаши для бровей</t>
  </si>
  <si>
    <t>Карандаши для глаз</t>
  </si>
  <si>
    <t>Средства для роста ресниц и бровей</t>
  </si>
  <si>
    <t>Тушь для ресниц</t>
  </si>
  <si>
    <t>Бальзам для губ</t>
  </si>
  <si>
    <t>Корректоры, консилеры</t>
  </si>
  <si>
    <t>Пудры</t>
  </si>
  <si>
    <t>Тональные средства</t>
  </si>
  <si>
    <t>Фиксатор макияжа</t>
  </si>
  <si>
    <t>Инструменты для маникюра и педикюра</t>
  </si>
  <si>
    <t>Средства для ухода</t>
  </si>
  <si>
    <t>Воздухоочиститель</t>
  </si>
  <si>
    <t>Массажное оборудование</t>
  </si>
  <si>
    <t>Батончики для спортивного питания</t>
  </si>
  <si>
    <t>Печенье спортивное</t>
  </si>
  <si>
    <t>Гейнеры</t>
  </si>
  <si>
    <t>Креатин</t>
  </si>
  <si>
    <t>Протеины</t>
  </si>
  <si>
    <t>Спортивные углеводные гели, энергетики, изотоники</t>
  </si>
  <si>
    <t>Средство для суставов и связок</t>
  </si>
  <si>
    <t>Мелкая бытовая техника</t>
  </si>
  <si>
    <t>Моющие пылесосы</t>
  </si>
  <si>
    <t>Отпариватель</t>
  </si>
  <si>
    <t>Парогенераторы</t>
  </si>
  <si>
    <t>Пылесосы вертикальные</t>
  </si>
  <si>
    <t>Пылесосы с контейнером для пыли</t>
  </si>
  <si>
    <t>Робот-мойщик окон</t>
  </si>
  <si>
    <t>Робот-пылесос</t>
  </si>
  <si>
    <t>Весы напольные</t>
  </si>
  <si>
    <t>Машинки для стрижки и триммеры</t>
  </si>
  <si>
    <t>Мультистайлер</t>
  </si>
  <si>
    <t>Фен-щетка</t>
  </si>
  <si>
    <t>Электрические зубные щетки и ирригаторы</t>
  </si>
  <si>
    <t>Электробритва</t>
  </si>
  <si>
    <t>Блендеры и измельчители</t>
  </si>
  <si>
    <t>Кухонная машина</t>
  </si>
  <si>
    <t>Кухонный комбайн</t>
  </si>
  <si>
    <t>Микроволновая печь с грилем</t>
  </si>
  <si>
    <t>Миксер</t>
  </si>
  <si>
    <t>Мультиварка</t>
  </si>
  <si>
    <t>Прочая техника для кухни</t>
  </si>
  <si>
    <t>Сушка для фруктов</t>
  </si>
  <si>
    <t>Термопот</t>
  </si>
  <si>
    <t>Тостеры</t>
  </si>
  <si>
    <t>Электрогриль, Аэрогриль</t>
  </si>
  <si>
    <t>Электромясорубка</t>
  </si>
  <si>
    <t>Электрочайник</t>
  </si>
  <si>
    <t>Кофемашина автоматическая</t>
  </si>
  <si>
    <t>Кофемашина капсульного типа</t>
  </si>
  <si>
    <t>Электрическая турка</t>
  </si>
  <si>
    <t>Кронштейны для телевизоров</t>
  </si>
  <si>
    <t>Медиаплееры</t>
  </si>
  <si>
    <t>Приставки для цифрового ТВ</t>
  </si>
  <si>
    <t>Проекторы и экраны</t>
  </si>
  <si>
    <t>Портативные колонки</t>
  </si>
  <si>
    <t>Саундбары</t>
  </si>
  <si>
    <t>Игровые приставки 8Bit и 16Bit</t>
  </si>
  <si>
    <t>Nintendo</t>
  </si>
  <si>
    <t>Фотоаппараты моментальной печати</t>
  </si>
  <si>
    <t>Хранение и переноска</t>
  </si>
  <si>
    <t>Экшн-камеры и аксессуары</t>
  </si>
  <si>
    <t>Осушитель воздуха</t>
  </si>
  <si>
    <t>Увлажнитель воздуха</t>
  </si>
  <si>
    <t>Автомобильные лампы</t>
  </si>
  <si>
    <t>Аккумуляторы и зарядные устройства</t>
  </si>
  <si>
    <t>Диагностическое оборудование для автомобилей</t>
  </si>
  <si>
    <t>Инструмент общего назначения в чемодане</t>
  </si>
  <si>
    <t>Компрессоры, насосы и манометры</t>
  </si>
  <si>
    <t>Аксессуары в салон автомобиля</t>
  </si>
  <si>
    <t>Наборы автомобилиста</t>
  </si>
  <si>
    <t>Разветвитель для прикуривателя</t>
  </si>
  <si>
    <t>Видеорегистраторы</t>
  </si>
  <si>
    <t>Присадка</t>
  </si>
  <si>
    <t>Автошампунь</t>
  </si>
  <si>
    <t>Антикор</t>
  </si>
  <si>
    <t>Набор автокосметики</t>
  </si>
  <si>
    <t>Ноутбук</t>
  </si>
  <si>
    <t>Подставка для ноутбука</t>
  </si>
  <si>
    <t>Web-камера</t>
  </si>
  <si>
    <t>3D-принтер</t>
  </si>
  <si>
    <t>Картриджи, чернила, тонер-картридж</t>
  </si>
  <si>
    <t>Кассовые аппараты</t>
  </si>
  <si>
    <t>Термопринтер</t>
  </si>
  <si>
    <t>Усилитель интернет сигнала</t>
  </si>
  <si>
    <t>Устройство для мобильного интернета</t>
  </si>
  <si>
    <t>Wi-Fi роутеры (Маршрутизаторы)</t>
  </si>
  <si>
    <t>Электронная книга</t>
  </si>
  <si>
    <t>Геймпады</t>
  </si>
  <si>
    <t>Микрофоны</t>
  </si>
  <si>
    <t>Наушники геймеров</t>
  </si>
  <si>
    <t>Внешний жесткий диск</t>
  </si>
  <si>
    <t>Внутренний SSD накопитель</t>
  </si>
  <si>
    <t>Карта памяти</t>
  </si>
  <si>
    <t>Термопаста</t>
  </si>
  <si>
    <t>Флэш диск</t>
  </si>
  <si>
    <t>Аккумуляторы</t>
  </si>
  <si>
    <t>Наборы аккумуляторов и зарядных устройств</t>
  </si>
  <si>
    <t>Батарейка Крона D</t>
  </si>
  <si>
    <t>Батарейки АА</t>
  </si>
  <si>
    <t>Батарейки ААА</t>
  </si>
  <si>
    <t>Кардиотренажеры</t>
  </si>
  <si>
    <t>Свободные веса</t>
  </si>
  <si>
    <t>Ножи и мультитулы</t>
  </si>
  <si>
    <t>Туристические фонари</t>
  </si>
  <si>
    <t>Эхолот</t>
  </si>
  <si>
    <t>Смартфоны Xiaomi</t>
  </si>
  <si>
    <t>Наушники TWS</t>
  </si>
  <si>
    <t>Проводные наушники и гарнитуры для телефонов</t>
  </si>
  <si>
    <t>Планшеты Android</t>
  </si>
  <si>
    <t>Смарт-часы Other</t>
  </si>
  <si>
    <t>Стилусы для планшетов</t>
  </si>
  <si>
    <t>Кабели для телефонов и планшетов</t>
  </si>
  <si>
    <t>Портативные зарядные устройства</t>
  </si>
  <si>
    <t>Сетевые зарядные устройства</t>
  </si>
  <si>
    <t>Насадки для электрических зубных щеток</t>
  </si>
  <si>
    <t>Умная розетка</t>
  </si>
  <si>
    <t>Напольные вешалки и рейлы</t>
  </si>
  <si>
    <t>Картридж к системе очистки воды</t>
  </si>
  <si>
    <t>Система для очистки воды</t>
  </si>
  <si>
    <t>Жидкие отбеливатели</t>
  </si>
  <si>
    <t>Добавки для ПММ</t>
  </si>
  <si>
    <t>Таблетированные средства для ПММ</t>
  </si>
  <si>
    <t>Уход за деревянной мебелью</t>
  </si>
  <si>
    <t>Чистящие средства для ванной</t>
  </si>
  <si>
    <t>Чистящие средства для кухни</t>
  </si>
  <si>
    <t>Чистящие средства для мытья стекол</t>
  </si>
  <si>
    <t>Чистящие средства для удаления накипи</t>
  </si>
  <si>
    <t>Чистящие средства универсальные</t>
  </si>
  <si>
    <t>Прочие средства для ухода за обувью</t>
  </si>
  <si>
    <t>Отруби сыпучие</t>
  </si>
  <si>
    <t>Синтетические заменители сахара</t>
  </si>
  <si>
    <t>Воды минеральные менее 0,8л</t>
  </si>
  <si>
    <t>Воды минеральные от 0,8л до 3л</t>
  </si>
  <si>
    <t>Кофе в зернах</t>
  </si>
  <si>
    <t>Кофе молотый</t>
  </si>
  <si>
    <t>Кофе молотый в дрип-пакетах</t>
  </si>
  <si>
    <t>Кофе в капсулах вкусовой</t>
  </si>
  <si>
    <t>Горячий шоколад пакетированный</t>
  </si>
  <si>
    <t>Дезодорант для обуви</t>
  </si>
  <si>
    <t>Средства от моли</t>
  </si>
  <si>
    <t>От тараканов</t>
  </si>
  <si>
    <t>Шоколад молочный</t>
  </si>
  <si>
    <t>Шоколад темный, горький</t>
  </si>
  <si>
    <t>Мармелад</t>
  </si>
  <si>
    <t>Пастильные изделия</t>
  </si>
  <si>
    <t>Батончики протеиновые</t>
  </si>
  <si>
    <t>Шоколадный фигурный прочий</t>
  </si>
  <si>
    <t>Пасты ореховые</t>
  </si>
  <si>
    <t>Пасты шоколадные</t>
  </si>
  <si>
    <t>Козинаки</t>
  </si>
  <si>
    <t>Влажные корма для взрослых кошек</t>
  </si>
  <si>
    <t>Сухие специализированные корма для кошек</t>
  </si>
  <si>
    <t>Лакомства для взрослых собак всех пород</t>
  </si>
  <si>
    <t>Сухие корма для собак всех пород</t>
  </si>
  <si>
    <t>Сухие корма для собак крупных пород</t>
  </si>
  <si>
    <t>Сухие корма для собак мелких пород</t>
  </si>
  <si>
    <t>Сухие корма для собак средних пород</t>
  </si>
  <si>
    <t>Древесные наполнители</t>
  </si>
  <si>
    <t>Силикагелевые наполнители</t>
  </si>
  <si>
    <t>Дразнилки</t>
  </si>
  <si>
    <t>Миски для кошек</t>
  </si>
  <si>
    <t>Аспираторы детские</t>
  </si>
  <si>
    <t>Мануальные зубные щетки</t>
  </si>
  <si>
    <t>Жидкое для интимной гигиены</t>
  </si>
  <si>
    <t>Кусковое декоративное</t>
  </si>
  <si>
    <t>Бумажные носовые платки</t>
  </si>
  <si>
    <t>Бумажные салфетки для лица</t>
  </si>
  <si>
    <t>Многослойная сухая туалетная бумага</t>
  </si>
  <si>
    <t>Ватные диски</t>
  </si>
  <si>
    <t>Дезодоранты женские спреи</t>
  </si>
  <si>
    <t>Прокладки</t>
  </si>
  <si>
    <t>Подгузники-трусики</t>
  </si>
  <si>
    <t>Детские зубные щетки</t>
  </si>
  <si>
    <t>Арахис</t>
  </si>
  <si>
    <t>Грецкий орех</t>
  </si>
  <si>
    <t>Кедровый орех</t>
  </si>
  <si>
    <t>Кешью</t>
  </si>
  <si>
    <t>Миндаль</t>
  </si>
  <si>
    <t>Прочие орехи</t>
  </si>
  <si>
    <t>Семечки подсолнечника неочищенные</t>
  </si>
  <si>
    <t>Масло топленое</t>
  </si>
  <si>
    <t>Вафельные изделия</t>
  </si>
  <si>
    <t>Дрожжи</t>
  </si>
  <si>
    <t>Уксус яблочный</t>
  </si>
  <si>
    <t>Нерафинированное оливковое масло</t>
  </si>
  <si>
    <t>Соусы на плодово-ягодной основе</t>
  </si>
  <si>
    <t>Мед с добавками</t>
  </si>
  <si>
    <t>Сиропы</t>
  </si>
  <si>
    <t>Инструменты для сборных моделей</t>
  </si>
  <si>
    <t>Румбоксы</t>
  </si>
  <si>
    <t>Азартные игры, рулетка</t>
  </si>
  <si>
    <t>Настольные игры для взрослых прочие</t>
  </si>
  <si>
    <t>Вязание</t>
  </si>
  <si>
    <t>Картины из ниток (стринг арт)</t>
  </si>
  <si>
    <t>Наборы для создания кукол</t>
  </si>
  <si>
    <t>Резьба по дереву</t>
  </si>
  <si>
    <t>Свечи и мыловарение</t>
  </si>
  <si>
    <t>Создание украшений</t>
  </si>
  <si>
    <t>Товары для лепки</t>
  </si>
  <si>
    <t>Шитье</t>
  </si>
  <si>
    <t>Акварельные краски</t>
  </si>
  <si>
    <t>Акриловые краски</t>
  </si>
  <si>
    <t>Гуашь</t>
  </si>
  <si>
    <t>Карандаши цветные</t>
  </si>
  <si>
    <t>Карандаши чернографитные</t>
  </si>
  <si>
    <t>Кисти</t>
  </si>
  <si>
    <t>Лаки художественные</t>
  </si>
  <si>
    <t>Маркеры и фломастеры</t>
  </si>
  <si>
    <t>Масляные краски</t>
  </si>
  <si>
    <t>Мелки</t>
  </si>
  <si>
    <t>Мольберты и холсты</t>
  </si>
  <si>
    <t>Наборы для рисования</t>
  </si>
  <si>
    <t>Раскраски</t>
  </si>
  <si>
    <t>Эбру</t>
  </si>
  <si>
    <t>Бизнес, экономика</t>
  </si>
  <si>
    <t>Естественные науки</t>
  </si>
  <si>
    <t>Педагогика, психология, социальная работа</t>
  </si>
  <si>
    <t>Прикладные науки, техника</t>
  </si>
  <si>
    <t>Детская психология и здоровье</t>
  </si>
  <si>
    <t>Книги для родителей</t>
  </si>
  <si>
    <t>Познавательная литература</t>
  </si>
  <si>
    <t>Комиксы</t>
  </si>
  <si>
    <t>Рабочая тетрадь</t>
  </si>
  <si>
    <t>Хрестоматия</t>
  </si>
  <si>
    <t>Школьные учебники</t>
  </si>
  <si>
    <t>Карты таро</t>
  </si>
  <si>
    <t>Эзотерика и парапсихология</t>
  </si>
  <si>
    <t>Альбомы, скетчбуки, бумага для рисования</t>
  </si>
  <si>
    <t>Бумага для заметок, закладки, стикеры</t>
  </si>
  <si>
    <t>Бумага для офисной техники</t>
  </si>
  <si>
    <t>Ежедневники, планинги</t>
  </si>
  <si>
    <t>Тетради</t>
  </si>
  <si>
    <t>Цветная бумага, картон</t>
  </si>
  <si>
    <t>Калькуляторы</t>
  </si>
  <si>
    <t>Клей, клейкая лента</t>
  </si>
  <si>
    <t>Корректирующие средства</t>
  </si>
  <si>
    <t>Лотки для бумаг</t>
  </si>
  <si>
    <t>Лупы</t>
  </si>
  <si>
    <t>Наборы канцелярских мелочей</t>
  </si>
  <si>
    <t>Ножницы, ножи канцелярские</t>
  </si>
  <si>
    <t>Органайзеры для рабочего стола</t>
  </si>
  <si>
    <t>Папки</t>
  </si>
  <si>
    <t>Подставки для книг</t>
  </si>
  <si>
    <t>Точилки</t>
  </si>
  <si>
    <t>Файлы</t>
  </si>
  <si>
    <t>Маркеры, текстовыделители</t>
  </si>
  <si>
    <t>Ручки, стержни</t>
  </si>
  <si>
    <t>Струны</t>
  </si>
  <si>
    <t>Тюнеры, метрономы, камертоны</t>
  </si>
  <si>
    <t>Язычковые барабаны, глюкофон, фимбо</t>
  </si>
  <si>
    <t>Детское творчество</t>
  </si>
  <si>
    <t>Наука</t>
  </si>
  <si>
    <t>Рисование</t>
  </si>
  <si>
    <t>Краски для внутренних работ</t>
  </si>
  <si>
    <t>Мусорные ведра, баки, контейнеры, урны, корзины для мусора</t>
  </si>
  <si>
    <t>Казаны</t>
  </si>
  <si>
    <t>Кастрюли, ковши</t>
  </si>
  <si>
    <t>Набор разной посуды для приготовления</t>
  </si>
  <si>
    <t>Сковороды</t>
  </si>
  <si>
    <t>Крышка для СВЧ</t>
  </si>
  <si>
    <t>Консервные ножи, открывалки для банок, бутылок</t>
  </si>
  <si>
    <t>Кухонные принадлежности прочие</t>
  </si>
  <si>
    <t>Ножи, штопоры</t>
  </si>
  <si>
    <t>Кухонные ножи, наборы кухонных ножей, точилки для ножей</t>
  </si>
  <si>
    <t>Товары для выпечки прочие</t>
  </si>
  <si>
    <t>Формы для выпечки, наборы форм для выпечки</t>
  </si>
  <si>
    <t>Бумага для выпечки</t>
  </si>
  <si>
    <t>Фольга</t>
  </si>
  <si>
    <t>Наматрасник</t>
  </si>
  <si>
    <t>Декоративная подушка</t>
  </si>
  <si>
    <t>Одеяло 1,5 сп</t>
  </si>
  <si>
    <t>Одеяло 2 сп</t>
  </si>
  <si>
    <t>Одеяло евро</t>
  </si>
  <si>
    <t>Подушка анатомическая</t>
  </si>
  <si>
    <t>Держатель для простыней</t>
  </si>
  <si>
    <t>Комплект постельного белья 1,5 сп</t>
  </si>
  <si>
    <t>Комплект постельного белья 2 сп</t>
  </si>
  <si>
    <t>Комплекты совков с веником, щеткой</t>
  </si>
  <si>
    <t>Щетка для уборки</t>
  </si>
  <si>
    <t>Ершик для унитаза</t>
  </si>
  <si>
    <t>Швабра</t>
  </si>
  <si>
    <t>Губки для мытья посуды</t>
  </si>
  <si>
    <t>Пакеты для мусора</t>
  </si>
  <si>
    <t>Салфетки, тряпки и губки для уборки</t>
  </si>
  <si>
    <t>Хранение посуды прочее</t>
  </si>
  <si>
    <t>Банка для хранения</t>
  </si>
  <si>
    <t>Пищевые контейнеры, ланч-боксы, наборы пищевых контейнеров</t>
  </si>
  <si>
    <t>Хранение продуктов прочее</t>
  </si>
  <si>
    <t>Мешок для стирки белья</t>
  </si>
  <si>
    <t>Сушилка для белья на ванну</t>
  </si>
  <si>
    <t>Машинка для удаления катышков</t>
  </si>
  <si>
    <t>Роллеры</t>
  </si>
  <si>
    <t>Напольные лампы и торшеры</t>
  </si>
  <si>
    <t>Настенные светильники и бра</t>
  </si>
  <si>
    <t>Освещение с потолка</t>
  </si>
  <si>
    <t>Прожекторы и светильники</t>
  </si>
  <si>
    <t>Ароматический диффузор</t>
  </si>
  <si>
    <t>Ароматическое саше</t>
  </si>
  <si>
    <t>Полотенце 30х50</t>
  </si>
  <si>
    <t>Полотенце 70х140</t>
  </si>
  <si>
    <t>Полотенце прочее</t>
  </si>
  <si>
    <t>Конфетницы, фруктовницы, тортовницы</t>
  </si>
  <si>
    <t>Наборы тарелок</t>
  </si>
  <si>
    <t>Комплекты разных столовых приборов</t>
  </si>
  <si>
    <t>Защита от солнца на окна</t>
  </si>
  <si>
    <t>Искусственные цветы</t>
  </si>
  <si>
    <t>Мыльница</t>
  </si>
  <si>
    <t>Заварочный чайник</t>
  </si>
  <si>
    <t>Горшки для рассады</t>
  </si>
  <si>
    <t>Автоматический открыватель для теплиц</t>
  </si>
  <si>
    <t>Уборка и удобрения</t>
  </si>
  <si>
    <t>Набор для выращивания</t>
  </si>
  <si>
    <t>Мангал сборный</t>
  </si>
  <si>
    <t>Аксессуары для насосов</t>
  </si>
  <si>
    <t>Самогонный аппарат и комплектующие</t>
  </si>
  <si>
    <t>Жидкость для биотуалета</t>
  </si>
  <si>
    <t>Декоративные ограждения</t>
  </si>
  <si>
    <t>Сушилки для обуви</t>
  </si>
  <si>
    <t>Сменные блоки для фильтров-кувшинов</t>
  </si>
  <si>
    <t>Насосы</t>
  </si>
  <si>
    <t>Вешалка-плечики</t>
  </si>
  <si>
    <t>Настенные вешалки</t>
  </si>
  <si>
    <t>Вакуумные пакеты для хранения вещей</t>
  </si>
  <si>
    <t>Коробы, кофры, органайзеры</t>
  </si>
  <si>
    <t>Колготки для женщин</t>
  </si>
  <si>
    <t>Носки женские</t>
  </si>
  <si>
    <t>Носки мужские</t>
  </si>
  <si>
    <t>Термобелье для женщин</t>
  </si>
  <si>
    <t>Комплект белья для мужчин</t>
  </si>
  <si>
    <t>Термобелье для мужчин</t>
  </si>
  <si>
    <t>Трусы для мужчин</t>
  </si>
  <si>
    <t>Брюки женские</t>
  </si>
  <si>
    <t>Платье, сарафан</t>
  </si>
  <si>
    <t>Футболка для мужчин</t>
  </si>
  <si>
    <t>Пояс, бандаж</t>
  </si>
  <si>
    <t>Железные дороги</t>
  </si>
  <si>
    <t>Игровые наборы и фигурки</t>
  </si>
  <si>
    <t>Игрушки-антистресс</t>
  </si>
  <si>
    <t>Интерактивные игрушки</t>
  </si>
  <si>
    <t>Конструкторы</t>
  </si>
  <si>
    <t>Мягкие игрушки</t>
  </si>
  <si>
    <t>Радиоуправляемые игрушки</t>
  </si>
  <si>
    <t>Роботы и трансформеры</t>
  </si>
  <si>
    <t>Сюжетно-ролевые игры детские</t>
  </si>
  <si>
    <t>Куклы</t>
  </si>
  <si>
    <t>Игрушечный транспорт для малышей</t>
  </si>
  <si>
    <t>Игрушки для ванной</t>
  </si>
  <si>
    <t>Качалки, каталки</t>
  </si>
  <si>
    <t>Развивающие игрушки</t>
  </si>
  <si>
    <t>Развивающие коврики и центры</t>
  </si>
  <si>
    <t>Игрушечное оружие</t>
  </si>
  <si>
    <t>Активный отдых детей</t>
  </si>
  <si>
    <t>Молокоотсосы и аксессуары</t>
  </si>
  <si>
    <t>Прорезыватели детские</t>
  </si>
  <si>
    <t>Качели, шезлонги, ходунки</t>
  </si>
  <si>
    <t>Кроватки, матрасы и постельное бельё</t>
  </si>
  <si>
    <t>Манежи для детей</t>
  </si>
  <si>
    <t>Стульчики для кормления</t>
  </si>
  <si>
    <t>Детские автокресла и бустеры</t>
  </si>
  <si>
    <t>Футболки для мальчиков</t>
  </si>
  <si>
    <t>Ванночки, горки, сиденья для купания</t>
  </si>
  <si>
    <t>Горшки и детские сиденья на унитаз</t>
  </si>
  <si>
    <t>Аксессуары для волос детские</t>
  </si>
  <si>
    <t>Ложка, рожок для обуви</t>
  </si>
  <si>
    <t>Салфетки для ухода за обувью</t>
  </si>
  <si>
    <t>Антистатики</t>
  </si>
  <si>
    <t>Влажные салфетки для ухода за одеждой</t>
  </si>
  <si>
    <t>Прочие средства для ухода за одеждой</t>
  </si>
  <si>
    <t>Весы для новорожденных</t>
  </si>
  <si>
    <t>Рюкзак женский</t>
  </si>
  <si>
    <t>Рюкзак мужской</t>
  </si>
  <si>
    <t>Сумка женская</t>
  </si>
  <si>
    <t>Сумка мужская</t>
  </si>
  <si>
    <t>Подушка для путешествий</t>
  </si>
  <si>
    <t>Прочие аксессуары для путешествий и поездок</t>
  </si>
  <si>
    <t>Сумка дорожная для путешествий</t>
  </si>
  <si>
    <t>Чемодан</t>
  </si>
  <si>
    <t>Ремни женские</t>
  </si>
  <si>
    <t>Ремни мужские</t>
  </si>
  <si>
    <t>Зонт</t>
  </si>
  <si>
    <t>Женские часы</t>
  </si>
  <si>
    <t>Картхолдер</t>
  </si>
  <si>
    <t>Резинка</t>
  </si>
  <si>
    <t>Бандана женская</t>
  </si>
  <si>
    <t>Бандажи, суппорты, тейпы и эластичные бинты</t>
  </si>
  <si>
    <t>Компрессионное белье</t>
  </si>
  <si>
    <t>Жидкое детское мыло</t>
  </si>
  <si>
    <t>Кусковое детское мыло</t>
  </si>
  <si>
    <t>Гель для купания детский</t>
  </si>
  <si>
    <t>Пена для ванн детская</t>
  </si>
  <si>
    <t>Прочие средства для купания</t>
  </si>
  <si>
    <t>Шампунь детский</t>
  </si>
  <si>
    <t>Детский крем</t>
  </si>
  <si>
    <t>Масло детское</t>
  </si>
  <si>
    <t>Присыпка детская</t>
  </si>
  <si>
    <t>Пакеты для хранения продуктов</t>
  </si>
  <si>
    <t>Капучинатор</t>
  </si>
  <si>
    <t>Значки</t>
  </si>
  <si>
    <t>Батарейки Таблетки</t>
  </si>
  <si>
    <t>Мицеллярные средства</t>
  </si>
  <si>
    <t>Средства для снятия лака</t>
  </si>
  <si>
    <t>Свечи для торта</t>
  </si>
  <si>
    <t>Перчатки для уборки</t>
  </si>
  <si>
    <t>Конструкторы LEGO</t>
  </si>
  <si>
    <t>Настольные игры семейные</t>
  </si>
  <si>
    <t>Краб</t>
  </si>
  <si>
    <t>Воздушные шары</t>
  </si>
  <si>
    <t>Запайщик пакетов</t>
  </si>
  <si>
    <t>Переводные тату</t>
  </si>
  <si>
    <t>Чистящие средства для оргтехники</t>
  </si>
  <si>
    <t>Уход за шерстью для собак</t>
  </si>
  <si>
    <t>Ролики и сменные блоки для чистки одежды</t>
  </si>
  <si>
    <t>Наклейки для коллекционирования</t>
  </si>
  <si>
    <t>Антидождь</t>
  </si>
  <si>
    <t>Бальзамы для губ</t>
  </si>
  <si>
    <t>Стеклоочистители, скребки, водосгоны для окон</t>
  </si>
  <si>
    <t>Щетки и расчески для кошек</t>
  </si>
  <si>
    <t>Мячики для кошек</t>
  </si>
  <si>
    <t>Лотки</t>
  </si>
  <si>
    <t>Спец. уход за кожей ног(скрабы,пилинги,ванночки)</t>
  </si>
  <si>
    <t>Средства для стоп и ногтей</t>
  </si>
  <si>
    <t>Ободок</t>
  </si>
  <si>
    <t>Товары для праздника детские</t>
  </si>
  <si>
    <t>Футбольные мячи</t>
  </si>
  <si>
    <t>Линейки, треугольники</t>
  </si>
  <si>
    <t>Игрушечный транспорт</t>
  </si>
  <si>
    <t>Соковыжималки</t>
  </si>
  <si>
    <t>Книги с наклейками</t>
  </si>
  <si>
    <t>Сыворотки для кожи вокруг глаз</t>
  </si>
  <si>
    <t>Подводки для глаз</t>
  </si>
  <si>
    <t>Пуходерки для собак</t>
  </si>
  <si>
    <t>Уход за кожей вокруг глаз</t>
  </si>
  <si>
    <t>Шампуни женские-селектив</t>
  </si>
  <si>
    <t>Наклейки</t>
  </si>
  <si>
    <t>Дождевик</t>
  </si>
  <si>
    <t>Для снятия макияжа вокруг глаз</t>
  </si>
  <si>
    <t>Сменная насадка для швабры</t>
  </si>
  <si>
    <t>Батарейки С</t>
  </si>
  <si>
    <t>Веник</t>
  </si>
  <si>
    <t>Ошейники для кошек</t>
  </si>
  <si>
    <t>Маски и патчи для губ</t>
  </si>
  <si>
    <t>Мышь</t>
  </si>
  <si>
    <t>Игрушки с канатом</t>
  </si>
  <si>
    <t>Расчески</t>
  </si>
  <si>
    <t>Средства по уходу за бородой</t>
  </si>
  <si>
    <t>Степлеры</t>
  </si>
  <si>
    <t>Вантуз</t>
  </si>
  <si>
    <t>Матирующие салфетки</t>
  </si>
  <si>
    <t>Рулетки</t>
  </si>
  <si>
    <t>Кабели, переходники, ЗУ</t>
  </si>
  <si>
    <t>Аппликации для творчества</t>
  </si>
  <si>
    <t>Развлечения на воде для детей</t>
  </si>
  <si>
    <t>Аксессуары для праздника</t>
  </si>
  <si>
    <t>Пазлы</t>
  </si>
  <si>
    <t>Сопутствующие товары прочие</t>
  </si>
  <si>
    <t>Гарнитуры</t>
  </si>
  <si>
    <t>Для грызения</t>
  </si>
  <si>
    <t>Формы для выпечки</t>
  </si>
  <si>
    <t>Брелок</t>
  </si>
  <si>
    <t>Сменные кассеты для фильтров-кувшинов</t>
  </si>
  <si>
    <t>Прочие средства для очищения</t>
  </si>
  <si>
    <t>Тени для век</t>
  </si>
  <si>
    <t>Записные книжки, блокноты</t>
  </si>
  <si>
    <t>Щетка для обуви</t>
  </si>
  <si>
    <t>Бальзамы и кондиционеры-лечение</t>
  </si>
  <si>
    <t>Маски-тубы</t>
  </si>
  <si>
    <t>Наборы чертежные</t>
  </si>
  <si>
    <t>Солнцезащитные очки женские</t>
  </si>
  <si>
    <t>Поводки и шлейки</t>
  </si>
  <si>
    <t>Мыло и воск для бровей</t>
  </si>
  <si>
    <t>Уход за зубами для собак</t>
  </si>
  <si>
    <t>SIM карты Мегафон</t>
  </si>
  <si>
    <t>Гигиенические пакеты для выгула собак</t>
  </si>
  <si>
    <t>Кольца и тарелки</t>
  </si>
  <si>
    <t>Значок</t>
  </si>
  <si>
    <t>Шампуни мужские-селектив</t>
  </si>
  <si>
    <t>Миски для собак</t>
  </si>
  <si>
    <t>Скраб, пилинг</t>
  </si>
  <si>
    <t>Уход за шерстью для кошек</t>
  </si>
  <si>
    <t>Невидимки</t>
  </si>
  <si>
    <t>Ошейники для собак</t>
  </si>
  <si>
    <t>Шапочка для плавания</t>
  </si>
  <si>
    <t>Носки унисекс</t>
  </si>
  <si>
    <t>Товары для творчества</t>
  </si>
  <si>
    <t>Заколка бижутерная</t>
  </si>
  <si>
    <t>Карандаши механические, цанговые</t>
  </si>
  <si>
    <t>Когтеточки</t>
  </si>
  <si>
    <t>Лежаки для собак</t>
  </si>
  <si>
    <t>Пазлы настольные</t>
  </si>
  <si>
    <t>Румяна</t>
  </si>
  <si>
    <t>Щетки и расчески для собак</t>
  </si>
  <si>
    <t>Тинт для губ</t>
  </si>
  <si>
    <t>Лежаки для кошек</t>
  </si>
  <si>
    <t>Косметичка</t>
  </si>
  <si>
    <t>Кофемолка</t>
  </si>
  <si>
    <t>SIM карты МТС</t>
  </si>
  <si>
    <t>Горелки, грелки, зажигалки и кемпинговые лампы</t>
  </si>
  <si>
    <t>Маска для сна</t>
  </si>
  <si>
    <t>Утюги</t>
  </si>
  <si>
    <t>Основа под макияж</t>
  </si>
  <si>
    <t>Бронзеры и контуринг</t>
  </si>
  <si>
    <t>Прищепки</t>
  </si>
  <si>
    <t>Солнцезащитные очки мужские</t>
  </si>
  <si>
    <t>Сабо для женщин</t>
  </si>
  <si>
    <t>Футляры</t>
  </si>
  <si>
    <t>Аксессуары для велосипедов</t>
  </si>
  <si>
    <t>Сабо для мужчин</t>
  </si>
  <si>
    <t>Карандаши для губ</t>
  </si>
  <si>
    <t>Наборы аксессуаров</t>
  </si>
  <si>
    <t>Ластики</t>
  </si>
  <si>
    <t>Стразы и кристаллы</t>
  </si>
  <si>
    <t>Чокер бижутерный</t>
  </si>
  <si>
    <t>Серьги бижутерные женские</t>
  </si>
  <si>
    <t>Джиббитсы</t>
  </si>
  <si>
    <t>Настольные вентиляторы</t>
  </si>
  <si>
    <t>Розетки/Выключатели/удлинители</t>
  </si>
  <si>
    <t>Помады для губ</t>
  </si>
  <si>
    <t>Развивающие книжки для малышей</t>
  </si>
  <si>
    <t>Кукольный театр</t>
  </si>
  <si>
    <t>Повязка</t>
  </si>
  <si>
    <t>Автомобильный ароматизатор</t>
  </si>
  <si>
    <t>Коврик для мыши</t>
  </si>
  <si>
    <t>Аксессуары для умывания</t>
  </si>
  <si>
    <t>Покрытие для губ</t>
  </si>
  <si>
    <t>Шлепанцы для женщин</t>
  </si>
  <si>
    <t>Дополнительные аксессуары</t>
  </si>
  <si>
    <t>Наборы и палетки</t>
  </si>
  <si>
    <t>Тапочки для женщин</t>
  </si>
  <si>
    <t>Аксессуары для плавания</t>
  </si>
  <si>
    <t>Сумки детские</t>
  </si>
  <si>
    <t>Bluetooth-аксессуары</t>
  </si>
  <si>
    <t>Скрабы для губ</t>
  </si>
  <si>
    <t>Колготки детские</t>
  </si>
  <si>
    <t>Маски-саше кремовые</t>
  </si>
  <si>
    <t>Блеск для губ</t>
  </si>
  <si>
    <t>Очки и маски для плавания</t>
  </si>
  <si>
    <t>Цепь, колье для женщин</t>
  </si>
  <si>
    <t>Наборы кистей</t>
  </si>
  <si>
    <t>Глиттеры</t>
  </si>
  <si>
    <t>Стаканчики для воды</t>
  </si>
  <si>
    <t>Стабилизаторы, моноподы, селфи палки</t>
  </si>
  <si>
    <t>Стельки</t>
  </si>
  <si>
    <t>Хайлайтеры</t>
  </si>
  <si>
    <t>Кисти для лица</t>
  </si>
  <si>
    <t>Батарейки прочие</t>
  </si>
  <si>
    <t>Сумки для обуви</t>
  </si>
  <si>
    <t>Держатели</t>
  </si>
  <si>
    <t>Палитры художественные</t>
  </si>
  <si>
    <t>Оборудование для фитнеса</t>
  </si>
  <si>
    <t>Комплект носков для женщин</t>
  </si>
  <si>
    <t>Браслет бижутерный женский</t>
  </si>
  <si>
    <t>Бальзамы и кондиционеры-селектив</t>
  </si>
  <si>
    <t>Совки</t>
  </si>
  <si>
    <t>Аксессуары для очистки кистей</t>
  </si>
  <si>
    <t>Аксессуары для плит и духовок</t>
  </si>
  <si>
    <t>Туристическая посуда и термосы</t>
  </si>
  <si>
    <t>Оборудование для йоги</t>
  </si>
  <si>
    <t>Крепления и держатели</t>
  </si>
  <si>
    <t>Свечи</t>
  </si>
  <si>
    <t>Настольные игры для компании</t>
  </si>
  <si>
    <t>Клипса крепежная автомобильная</t>
  </si>
  <si>
    <t>Кошелек</t>
  </si>
  <si>
    <t>Уход за лапами для собак</t>
  </si>
  <si>
    <t>Пеналы</t>
  </si>
  <si>
    <t>Комплект бижутерный</t>
  </si>
  <si>
    <t>Плакаты</t>
  </si>
  <si>
    <t>Брошь бижутерная</t>
  </si>
  <si>
    <t>Аксессуары для гладильной доски</t>
  </si>
  <si>
    <t>Дизайн маникюра</t>
  </si>
  <si>
    <t>Велосвет</t>
  </si>
  <si>
    <t>Баскетбольные мячи</t>
  </si>
  <si>
    <t>Бейджики, шнурки, рулетки</t>
  </si>
  <si>
    <t>Электрощипцы</t>
  </si>
  <si>
    <t>Квиллинг</t>
  </si>
  <si>
    <t>Зарядные устройства в автомобиль</t>
  </si>
  <si>
    <t>Обложки для книг и тетрадей</t>
  </si>
  <si>
    <t>Толстовка, худи для мужчин</t>
  </si>
  <si>
    <t>Футболка для женщин</t>
  </si>
  <si>
    <t>Трафареты</t>
  </si>
  <si>
    <t>Закладки для книг</t>
  </si>
  <si>
    <t>Чехлы, пленки, защитные стекла</t>
  </si>
  <si>
    <t>Приемник Wi-Fi</t>
  </si>
  <si>
    <t>Пены для ванн</t>
  </si>
  <si>
    <t>Комплект клавиатура и мышь</t>
  </si>
  <si>
    <t>Принадлежности для мытья и очистки от снега</t>
  </si>
  <si>
    <t>Теннисные мячи</t>
  </si>
  <si>
    <t>Кольцо бижутерное женское</t>
  </si>
  <si>
    <t>Кисти для глаз</t>
  </si>
  <si>
    <t>Прочие аксессуары для смартфонов</t>
  </si>
  <si>
    <t>Подвеска бижутерная женская</t>
  </si>
  <si>
    <t>Накладные ресницы</t>
  </si>
  <si>
    <t>Колонки компьютерные</t>
  </si>
  <si>
    <t>Аксессуары для электрических зубных щеток и ирригаторов</t>
  </si>
  <si>
    <t>Подготовка к школе</t>
  </si>
  <si>
    <t>Фен</t>
  </si>
  <si>
    <t>Рюкзаки детские</t>
  </si>
  <si>
    <t>Пижама, ночная сорочка</t>
  </si>
  <si>
    <t>Органайзеры для автомобилей</t>
  </si>
  <si>
    <t>Балетки для женщин</t>
  </si>
  <si>
    <t>Разветвитель для компьютера</t>
  </si>
  <si>
    <t>Аксессуары для утюгов и парогенераторов</t>
  </si>
  <si>
    <t>Кроссовки для женщин</t>
  </si>
  <si>
    <t>Автомобильные зарядные устройства</t>
  </si>
  <si>
    <t>Фоторамки</t>
  </si>
  <si>
    <t>Смартфоны Samsung</t>
  </si>
  <si>
    <t>Кеды для женщин</t>
  </si>
  <si>
    <t>Аксессуар для игровой приставки</t>
  </si>
  <si>
    <t>Наушники Apple</t>
  </si>
  <si>
    <t>Одеколоны, духи, воды мужские</t>
  </si>
  <si>
    <t>Умные колонки</t>
  </si>
  <si>
    <t>Зимние виды спорта для детей</t>
  </si>
  <si>
    <t>Влажные корма для взрослых собак всех пород</t>
  </si>
  <si>
    <t>Перчатки хозяйственные</t>
  </si>
  <si>
    <t>Губки для обуви</t>
  </si>
  <si>
    <t>Стаканы, кружки, рюмки одноразовые</t>
  </si>
  <si>
    <t>Ароматы для дома прочее</t>
  </si>
  <si>
    <t>Влажные салфетки для оптики</t>
  </si>
  <si>
    <t>Ароматическая свеча</t>
  </si>
  <si>
    <t>Клеи</t>
  </si>
  <si>
    <t>Тарелки одноразовые</t>
  </si>
  <si>
    <t>Соль для ванн детская</t>
  </si>
  <si>
    <t>Для бритья пены</t>
  </si>
  <si>
    <t>Зубочистки и подставки для зубочисток</t>
  </si>
  <si>
    <t>Прокладки ежедневные</t>
  </si>
  <si>
    <t>Комплектующие и лампочки</t>
  </si>
  <si>
    <t>Хвойные гирлянды</t>
  </si>
  <si>
    <t>Пленка пищевая</t>
  </si>
  <si>
    <t>Наклейки новогодние</t>
  </si>
  <si>
    <t>Сменный блок для ролика</t>
  </si>
  <si>
    <t>Чистящие средства для мытья пола</t>
  </si>
  <si>
    <t>Рукава для запекания</t>
  </si>
  <si>
    <t>Наборы одноразовой посуды</t>
  </si>
  <si>
    <t>Свеча светодиодная</t>
  </si>
  <si>
    <t>Разделка и нарезка продуктов прочее</t>
  </si>
  <si>
    <t>Влажные корма для щенков</t>
  </si>
  <si>
    <t>Кружки, бутылки</t>
  </si>
  <si>
    <t>Верхушка для ели</t>
  </si>
  <si>
    <t>Елочные игрушки</t>
  </si>
  <si>
    <t>Средства от мух и ос</t>
  </si>
  <si>
    <t>Подсвечник новогодний</t>
  </si>
  <si>
    <t>Свечи и подсвечники</t>
  </si>
  <si>
    <t>Кухонные ножницы</t>
  </si>
  <si>
    <t>Дезодоранты мужские спреи</t>
  </si>
  <si>
    <t>Депиляционные кремы</t>
  </si>
  <si>
    <t>Формы для льда</t>
  </si>
  <si>
    <t>Сухие корма для щенков</t>
  </si>
  <si>
    <t>Бумажные салфетки столовые</t>
  </si>
  <si>
    <t>Сухие корма для котят</t>
  </si>
  <si>
    <t>Защита от солнца-селектив</t>
  </si>
  <si>
    <t>Чистка ковров и обивки мебели</t>
  </si>
  <si>
    <t>Решетка для шашлыка</t>
  </si>
  <si>
    <t>Ароматизатор для бани и сауны</t>
  </si>
  <si>
    <t>Влажные салфетки универсальные</t>
  </si>
  <si>
    <t>От клопов и блох</t>
  </si>
  <si>
    <t>Символ года</t>
  </si>
  <si>
    <t>Влажные корма для взрослых собак средн/крупн пород</t>
  </si>
  <si>
    <t>От клещей</t>
  </si>
  <si>
    <t>Шампуры</t>
  </si>
  <si>
    <t>Сифон для воды и комплектующие</t>
  </si>
  <si>
    <t>Одноразовые станки</t>
  </si>
  <si>
    <t>Скатерти</t>
  </si>
  <si>
    <t>Благовония</t>
  </si>
  <si>
    <t>Инструмент для обработки почвы</t>
  </si>
  <si>
    <t>Дозатор для мыла</t>
  </si>
  <si>
    <t>Наборы для ванной комнаты</t>
  </si>
  <si>
    <t>Приготовление напитков прочее</t>
  </si>
  <si>
    <t>Лакомства для собак средних и крупных пород</t>
  </si>
  <si>
    <t>Хлопушки</t>
  </si>
  <si>
    <t>Жилет для мужчин</t>
  </si>
  <si>
    <t>Куртка для мужчин</t>
  </si>
  <si>
    <t>Сито и дуршлаг</t>
  </si>
  <si>
    <t>Щетка для чистки гриля</t>
  </si>
  <si>
    <t>Бокалы и фужеры</t>
  </si>
  <si>
    <t>Аккумулятор холода</t>
  </si>
  <si>
    <t>Коврик для пикника</t>
  </si>
  <si>
    <t>Приучение к месту</t>
  </si>
  <si>
    <t>Цветочные кашпо и горшки</t>
  </si>
  <si>
    <t>Аксессуары для сервировки прочее</t>
  </si>
  <si>
    <t>Стаканы для напитков</t>
  </si>
  <si>
    <t>Губки для тела детские</t>
  </si>
  <si>
    <t>Дополнительное питание для кошек</t>
  </si>
  <si>
    <t>Тесты для определения беременности</t>
  </si>
  <si>
    <t>Разделочные доски</t>
  </si>
  <si>
    <t>Мерная емкость</t>
  </si>
  <si>
    <t>Настольные и косметические зеркала</t>
  </si>
  <si>
    <t>Терка</t>
  </si>
  <si>
    <t>Летние виды спорта для детей</t>
  </si>
  <si>
    <t>Маски защитные одноразовые</t>
  </si>
  <si>
    <t>Мочалка для бани</t>
  </si>
  <si>
    <t>Крючок для ванной</t>
  </si>
  <si>
    <t>Туристическая мебель</t>
  </si>
  <si>
    <t>Сапы</t>
  </si>
  <si>
    <t>Крючки для одежды</t>
  </si>
  <si>
    <t>Гирлянда электрическая</t>
  </si>
  <si>
    <t>Лопатка</t>
  </si>
  <si>
    <t>Влажные корма для взрослых собак малых пород</t>
  </si>
  <si>
    <t>Контейнеры, корзины для хранения вещей и одежды</t>
  </si>
  <si>
    <t>Ведра, швабры, насадки</t>
  </si>
  <si>
    <t>Ароматические свечи</t>
  </si>
  <si>
    <t>Набор кухонных принадлежностей</t>
  </si>
  <si>
    <t>Кружки, чашки, блюдца</t>
  </si>
  <si>
    <t>Наборы стаканов, бокалов</t>
  </si>
  <si>
    <t>Чехол для одежды</t>
  </si>
  <si>
    <t>Прихватка</t>
  </si>
  <si>
    <t>Елочная игрушка</t>
  </si>
  <si>
    <t>Декорирование пасхальных яиц</t>
  </si>
  <si>
    <t>Ель искусственная</t>
  </si>
  <si>
    <t>Депиляционные полоски</t>
  </si>
  <si>
    <t>Товары для хранения прочие</t>
  </si>
  <si>
    <t>Перчатки</t>
  </si>
  <si>
    <t>После бритья бальзамы</t>
  </si>
  <si>
    <t>Аксессуары для ванной прочее</t>
  </si>
  <si>
    <t>Термобелье и изотермические комбинезоны</t>
  </si>
  <si>
    <t>Воланы для бадминтона</t>
  </si>
  <si>
    <t>Маски защитные многоразовые</t>
  </si>
  <si>
    <t>Кухонное полотенце</t>
  </si>
  <si>
    <t>Световой занавес</t>
  </si>
  <si>
    <t>Хлопушка пиротехническая</t>
  </si>
  <si>
    <t>Средства от комаров и мошек</t>
  </si>
  <si>
    <t>Спальники и аксессуары</t>
  </si>
  <si>
    <t>Декоративная елочка</t>
  </si>
  <si>
    <t>Световая фигура</t>
  </si>
  <si>
    <t>Полотенце 40х70</t>
  </si>
  <si>
    <t>Стакан для зубных щеток</t>
  </si>
  <si>
    <t>Набор емкостей для специй и соусов</t>
  </si>
  <si>
    <t>Влажные специализированные корма для собак</t>
  </si>
  <si>
    <t>Жидкое мыло основное</t>
  </si>
  <si>
    <t>Пластыри</t>
  </si>
  <si>
    <t>Рюмки и стопки</t>
  </si>
  <si>
    <t>Ваза</t>
  </si>
  <si>
    <t>Лакомства для собак малых пород</t>
  </si>
  <si>
    <t>Фигурка новогодняя</t>
  </si>
  <si>
    <t>Часы</t>
  </si>
  <si>
    <t>Веер для раздува</t>
  </si>
  <si>
    <t>Ловушка для насекомых</t>
  </si>
  <si>
    <t>Элементы декора</t>
  </si>
  <si>
    <t>Дезодоранты женские ролики</t>
  </si>
  <si>
    <t>Тарелки</t>
  </si>
  <si>
    <t>Турка</t>
  </si>
  <si>
    <t>Подставка для столовых приборов</t>
  </si>
  <si>
    <t>Впитывающие наполнители</t>
  </si>
  <si>
    <t>После бритья лосьоны</t>
  </si>
  <si>
    <t>Защитные накладки и протекторы на мебель</t>
  </si>
  <si>
    <t>Коврики для ванной и туалета</t>
  </si>
  <si>
    <t>Салфетницы и подставки для салфеток</t>
  </si>
  <si>
    <t>Порошок для ПММ</t>
  </si>
  <si>
    <t>Соковыжималка механическая</t>
  </si>
  <si>
    <t>Варежки</t>
  </si>
  <si>
    <t>Наволочка декоративная</t>
  </si>
  <si>
    <t>Гирлянды-растяжки, подвесные украшения</t>
  </si>
  <si>
    <t>Подставка под горячее</t>
  </si>
  <si>
    <t>Смесители для ванной комнаты</t>
  </si>
  <si>
    <t>Фитолампы</t>
  </si>
  <si>
    <t>Фоторамка</t>
  </si>
  <si>
    <t>Столовые ножи</t>
  </si>
  <si>
    <t>Половник</t>
  </si>
  <si>
    <t>Комкующиеся наполнители</t>
  </si>
  <si>
    <t>Туристические рюкзаки и сумки</t>
  </si>
  <si>
    <t>Сухие корма для щенков мелких и миниатюрных пород</t>
  </si>
  <si>
    <t>Календари</t>
  </si>
  <si>
    <t>Кухонные контейнеры</t>
  </si>
  <si>
    <t>Органайзер для ванной</t>
  </si>
  <si>
    <t>Термокружки, термобокалы</t>
  </si>
  <si>
    <t>Полотенце 50х90</t>
  </si>
  <si>
    <t>Прочие корма и лакомства для кошек</t>
  </si>
  <si>
    <t>Креманки, икорницы, розетки, соусники, пиалы</t>
  </si>
  <si>
    <t>Шумовки, поварские ложки</t>
  </si>
  <si>
    <t>Поглотители д/холодильников</t>
  </si>
  <si>
    <t>Наволочка 50х70</t>
  </si>
  <si>
    <t>Прочая детская гигиена</t>
  </si>
  <si>
    <t>Сухие корма для взрослых кошек</t>
  </si>
  <si>
    <t>Салфетки влажные для уборки дома</t>
  </si>
  <si>
    <t>Салатники</t>
  </si>
  <si>
    <t>Чехлы и кофры</t>
  </si>
  <si>
    <t>Полка для ванной</t>
  </si>
  <si>
    <t>Шапка для бани</t>
  </si>
  <si>
    <t>Ложки столовые</t>
  </si>
  <si>
    <t>Формы для запекания</t>
  </si>
  <si>
    <t>Полки настенные</t>
  </si>
  <si>
    <t>Масленка</t>
  </si>
  <si>
    <t>Коврики декоративные</t>
  </si>
  <si>
    <t>Формы для приготовления прочие</t>
  </si>
  <si>
    <t>Декоративные объекты прочее</t>
  </si>
  <si>
    <t>Дезодоранты мужские ролики</t>
  </si>
  <si>
    <t>Садовое и парковое освещение</t>
  </si>
  <si>
    <t>Системные станки</t>
  </si>
  <si>
    <t>Средства защиты во время работы</t>
  </si>
  <si>
    <t>Прочие средства для розжига</t>
  </si>
  <si>
    <t>Карнавальные костюмы и аксессуары детские</t>
  </si>
  <si>
    <t>Топорики, молотки, размягчители для мяса</t>
  </si>
  <si>
    <t>Ложки чайные</t>
  </si>
  <si>
    <t>Зажимы для пакетов</t>
  </si>
  <si>
    <t>Влажная туалетная бумага</t>
  </si>
  <si>
    <t>Сервировочные блюда, селедочницы, менажницы</t>
  </si>
  <si>
    <t>Подставки для обуви</t>
  </si>
  <si>
    <t>Столовая посуда прочее</t>
  </si>
  <si>
    <t>Влажные специализированные корма для кошек</t>
  </si>
  <si>
    <t>Аксессуар для цветочных горшков</t>
  </si>
  <si>
    <t>Влажные салфетки антибактериальные</t>
  </si>
  <si>
    <t>Одеколоны, духи, воды женские</t>
  </si>
  <si>
    <t>Одеколоны, духи, воды унисекс</t>
  </si>
  <si>
    <t>Кроссовки для мужчин</t>
  </si>
  <si>
    <t>Саше д/шкафов и комодов</t>
  </si>
  <si>
    <t>Джинсы для женщин</t>
  </si>
  <si>
    <t>Губки для тела</t>
  </si>
  <si>
    <t>Майка, топ для женщин</t>
  </si>
  <si>
    <t>Лонгслив для мужчин</t>
  </si>
  <si>
    <t>База и топ</t>
  </si>
  <si>
    <t>Свитер для женщин</t>
  </si>
  <si>
    <t>Футболки для девочек</t>
  </si>
  <si>
    <t>Джемпер, пуловер</t>
  </si>
  <si>
    <t>Набор банных принадлежностей</t>
  </si>
  <si>
    <t>Светильник новогодний</t>
  </si>
  <si>
    <t>Вилки</t>
  </si>
  <si>
    <t>Прочие Android смартфоны</t>
  </si>
  <si>
    <t>Банки</t>
  </si>
  <si>
    <t>Уголь</t>
  </si>
  <si>
    <t>Поло для мальчиков</t>
  </si>
  <si>
    <t>Коврики для сушки посуды</t>
  </si>
  <si>
    <t>Лонгслив для женщин</t>
  </si>
  <si>
    <t>Лакомства для взрослых кошек</t>
  </si>
  <si>
    <t>Шапки детские</t>
  </si>
  <si>
    <t>Смарт-часы прочие</t>
  </si>
  <si>
    <t>Абразивные чистящие порошки</t>
  </si>
  <si>
    <t>Кремы ВВ</t>
  </si>
  <si>
    <t>Кепка женская</t>
  </si>
  <si>
    <t>Наборы для барбекю</t>
  </si>
  <si>
    <t>Наклейки на банки для консервирования</t>
  </si>
  <si>
    <t>Гольфы для женщин</t>
  </si>
  <si>
    <t>Толстовка, худи для женщин</t>
  </si>
  <si>
    <t>Трусы для женщин</t>
  </si>
  <si>
    <t>Брюки для мужчин</t>
  </si>
  <si>
    <t>Носки детские</t>
  </si>
  <si>
    <t>Пижамы детские</t>
  </si>
  <si>
    <t>Босоножки для женщин</t>
  </si>
  <si>
    <t>Прочие корма и лакомства для собак</t>
  </si>
  <si>
    <t>Термосумка</t>
  </si>
  <si>
    <t>Графины, кувшины, декантеры, штофы</t>
  </si>
  <si>
    <t>Купальный костюм</t>
  </si>
  <si>
    <t>Пеленки и салфетки</t>
  </si>
  <si>
    <t>Комплекты для малышей</t>
  </si>
  <si>
    <t>Держатель для полотенец</t>
  </si>
  <si>
    <t>Дезодоранты мужские стики</t>
  </si>
  <si>
    <t>Весы кухонные</t>
  </si>
  <si>
    <t>Шапка женская</t>
  </si>
  <si>
    <t>Выпрямитель волос</t>
  </si>
  <si>
    <t>Наборы подарочные детские косметические</t>
  </si>
  <si>
    <t>Горнолыжные шапки, перчатки и носки</t>
  </si>
  <si>
    <t>Решетки для гриля</t>
  </si>
  <si>
    <t>Корзины и сумки для грязного белья</t>
  </si>
  <si>
    <t>Брюки для девочек</t>
  </si>
  <si>
    <t>Кабель для компьютера</t>
  </si>
  <si>
    <t>Влажные корма для котят</t>
  </si>
  <si>
    <t>Дезодоранты мужские гели</t>
  </si>
  <si>
    <t>Клавиатура</t>
  </si>
  <si>
    <t>Тепловентилятор</t>
  </si>
  <si>
    <t>SIM карты прочие операторы</t>
  </si>
  <si>
    <t>Крышка для посуды</t>
  </si>
  <si>
    <t>Галстуки и бабочки детские</t>
  </si>
  <si>
    <t>Эпилятор</t>
  </si>
  <si>
    <t>Шапка мужская</t>
  </si>
  <si>
    <t>Смарт-часы Детские</t>
  </si>
  <si>
    <t>Велосипедные перчатки</t>
  </si>
  <si>
    <t>Свитшот для мужчин</t>
  </si>
  <si>
    <t>Пуховик для женщин</t>
  </si>
  <si>
    <t>Приготовление пищи прочее</t>
  </si>
  <si>
    <t>Кеды для мужчин</t>
  </si>
  <si>
    <t>Комплекты чашек с блюдцами, чайные и кофейные сервизы</t>
  </si>
  <si>
    <t>Пастель</t>
  </si>
  <si>
    <t>Рыболовные коробки и ящики</t>
  </si>
  <si>
    <t>Детские рюкзаки</t>
  </si>
  <si>
    <t>Чулки</t>
  </si>
  <si>
    <t>Пледы</t>
  </si>
  <si>
    <t>Туристические коврики и сидушки</t>
  </si>
  <si>
    <t>Диагональ до 24</t>
  </si>
  <si>
    <t>Ароматическая лампа</t>
  </si>
  <si>
    <t>Простыня 2 сп</t>
  </si>
  <si>
    <t>Очиститель салона автомобиля</t>
  </si>
  <si>
    <t>Джемперы и свитшоты для девочек</t>
  </si>
  <si>
    <t>Кусковое основное</t>
  </si>
  <si>
    <t>Коврики грязезащитные</t>
  </si>
  <si>
    <t>Детские зубные пасты</t>
  </si>
  <si>
    <t>Аксессуары разное</t>
  </si>
  <si>
    <t>Дневники школьные, расписания уроков</t>
  </si>
  <si>
    <t>Детские средства защиты от солнца</t>
  </si>
  <si>
    <t>Легинсы для девочек</t>
  </si>
  <si>
    <t>Комплект носков для мужчин</t>
  </si>
  <si>
    <t>Пиджак для женщин</t>
  </si>
  <si>
    <t>Шар на ель</t>
  </si>
  <si>
    <t>Игровой руль</t>
  </si>
  <si>
    <t>Аксессуары для приготовления кофе</t>
  </si>
  <si>
    <t>Комплект женский</t>
  </si>
  <si>
    <t>Наушники для компьютера</t>
  </si>
  <si>
    <t>Комплекты для девочек</t>
  </si>
  <si>
    <t>Школьные рюкзаки, ранцы</t>
  </si>
  <si>
    <t>Рыболовная приманка</t>
  </si>
  <si>
    <t>Тренировочное оружие для единоборств</t>
  </si>
  <si>
    <t>Микроволновая печь соло</t>
  </si>
  <si>
    <t>Крышки</t>
  </si>
  <si>
    <t>Умная лампа</t>
  </si>
  <si>
    <t>Пуфы и банкетки</t>
  </si>
  <si>
    <t>Аксессуары для стиральных и сушильных машин</t>
  </si>
  <si>
    <t>Аксессуары для тяжелой атлетики</t>
  </si>
  <si>
    <t>Садовые инструменты</t>
  </si>
  <si>
    <t>Электрические зубные щетки</t>
  </si>
  <si>
    <t>Массажер для бани</t>
  </si>
  <si>
    <t>Кисти для губ</t>
  </si>
  <si>
    <t>Спрей, серпантин</t>
  </si>
  <si>
    <t>Умывание-селектив</t>
  </si>
  <si>
    <t>Набор первоклассника</t>
  </si>
  <si>
    <t>Карнизы для штор</t>
  </si>
  <si>
    <t>Журнал</t>
  </si>
  <si>
    <t>Смарт-часы Apple</t>
  </si>
  <si>
    <t>Наушники</t>
  </si>
  <si>
    <t>Балаклава мужская</t>
  </si>
  <si>
    <t>Домики для кошек</t>
  </si>
  <si>
    <t>Самоклеящиеся закладки</t>
  </si>
  <si>
    <t>Смартфоны Realme</t>
  </si>
  <si>
    <t>Подушечки для обуви</t>
  </si>
  <si>
    <t>Бульонницы, супницы</t>
  </si>
  <si>
    <t>Microsoft XBOX</t>
  </si>
  <si>
    <t>Влажные салфетки для авто</t>
  </si>
  <si>
    <t>Защитная одежда и принадлежности</t>
  </si>
  <si>
    <t>Комплект мужской</t>
  </si>
  <si>
    <t>Пробковые доски</t>
  </si>
  <si>
    <t>Диагональ 30-35</t>
  </si>
  <si>
    <t>Sony PlayStation</t>
  </si>
  <si>
    <t>Диагональ 60-65</t>
  </si>
  <si>
    <t>Консоли мебельные</t>
  </si>
  <si>
    <t>СберМобайл</t>
  </si>
  <si>
    <t>Кондиционер мобильный</t>
  </si>
  <si>
    <t>Диагональ 55-59</t>
  </si>
  <si>
    <t>SIM карты Yota</t>
  </si>
  <si>
    <t>QNF</t>
  </si>
  <si>
    <t>0</t>
  </si>
  <si>
    <t>core</t>
  </si>
  <si>
    <t>seasonal</t>
  </si>
  <si>
    <t>нет</t>
  </si>
  <si>
    <t>да</t>
  </si>
  <si>
    <t>Коврики под миску для кошек</t>
  </si>
  <si>
    <t>Когтерезы для собак</t>
  </si>
  <si>
    <t>Мячики для собак</t>
  </si>
  <si>
    <t>Поглотители запаха</t>
  </si>
  <si>
    <t>Уход за глазами для собак</t>
  </si>
  <si>
    <t>Уход за ушами для собак</t>
  </si>
  <si>
    <t>Уход за шерстью для кошек и собак</t>
  </si>
  <si>
    <t>Шампунь для кошек и собак</t>
  </si>
  <si>
    <t>Миски</t>
  </si>
  <si>
    <t>Наборы ведер со швабрами</t>
  </si>
  <si>
    <t>Пододеяльник евро</t>
  </si>
  <si>
    <t>Полотенце 50х70</t>
  </si>
  <si>
    <t>Простыня 1 сп</t>
  </si>
  <si>
    <t>Простыня 1,5 сп</t>
  </si>
  <si>
    <t>Простыня евро</t>
  </si>
  <si>
    <t>Салфетка автомобильная</t>
  </si>
  <si>
    <t>Френч-пресс</t>
  </si>
  <si>
    <t>Пинетки и антицарапки для малышей</t>
  </si>
  <si>
    <t>Соски</t>
  </si>
  <si>
    <t>Органайзер</t>
  </si>
  <si>
    <t>Чехол для чемодана</t>
  </si>
  <si>
    <t>Названия строк</t>
  </si>
  <si>
    <t>Общий итог</t>
  </si>
  <si>
    <t xml:space="preserve"> Эталон 15 мин</t>
  </si>
  <si>
    <t xml:space="preserve"> Эталон МАКС + 15 мин</t>
  </si>
  <si>
    <t>NEW Эталон МАКСы</t>
  </si>
  <si>
    <t>NEW Эталон 15 мин</t>
  </si>
  <si>
    <t>NEW Эталон МАКС + 15 мин</t>
  </si>
  <si>
    <t>отклонение МАКСы</t>
  </si>
  <si>
    <t>отклонение 15 мин</t>
  </si>
  <si>
    <t>отклонение итого</t>
  </si>
  <si>
    <t>GMV 2 схема</t>
  </si>
  <si>
    <t>ШТ 2 сзема</t>
  </si>
  <si>
    <t>Доля руб</t>
  </si>
  <si>
    <t>Доля шт</t>
  </si>
  <si>
    <t>Ассорт по прод</t>
  </si>
  <si>
    <t>(Все)</t>
  </si>
  <si>
    <t xml:space="preserve">  Эталон МАКСы</t>
  </si>
  <si>
    <t xml:space="preserve"> NEW Эталон МАКСы</t>
  </si>
  <si>
    <t xml:space="preserve"> NEW Эталон 15 мин</t>
  </si>
  <si>
    <t xml:space="preserve"> NEW Эталон МАКС + 15 мин</t>
  </si>
  <si>
    <t xml:space="preserve"> отклонение МАКСы</t>
  </si>
  <si>
    <t xml:space="preserve"> отклонение 15 мин</t>
  </si>
  <si>
    <t xml:space="preserve"> отклонение итого</t>
  </si>
  <si>
    <t>инаут</t>
  </si>
  <si>
    <t>расширяем через инауты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</si>
</sst>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3" borderId="0" xfId="0" applyFill="1"/>
    <xf numFmtId="0" fontId="0" fillId="0" borderId="0" xfId="0" applyFill="1"/>
    <xf numFmtId="0" fontId="0" fillId="4" borderId="0" xfId="0" applyFill="1"/>
    <xf numFmtId="3" fontId="0" fillId="4" borderId="0" xfId="0" applyNumberFormat="1" applyFill="1"/>
    <xf numFmtId="3" fontId="0" fillId="0" borderId="0" xfId="0" applyNumberFormat="1"/>
    <xf numFmtId="10" fontId="0" fillId="4" borderId="0" xfId="1" applyNumberFormat="1" applyFont="1" applyFill="1"/>
    <xf numFmtId="10" fontId="0" fillId="0" borderId="0" xfId="1" applyNumberFormat="1" applyFont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pivotButton="1" applyBorder="1"/>
    <xf numFmtId="0" fontId="0" fillId="0" borderId="10" xfId="0" applyBorder="1"/>
    <xf numFmtId="0" fontId="0" fillId="4" borderId="1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6" borderId="0" xfId="0" applyFill="1"/>
    <xf numFmtId="3" fontId="0" fillId="6" borderId="0" xfId="0" applyNumberFormat="1" applyFill="1"/>
    <xf numFmtId="10" fontId="0" fillId="6" borderId="0" xfId="1" applyNumberFormat="1" applyFont="1" applyFill="1"/>
    <xf numFmtId="0" fontId="0" fillId="7" borderId="0" xfId="0" applyFill="1"/>
    <xf numFmtId="0" fontId="0" fillId="7" borderId="0" xfId="0" applyFill="1" applyAlignment="1">
      <alignment vertical="center"/>
    </xf>
  </cellXfs>
  <cellStyles count="2">
    <cellStyle name="Обычный" xfId="0" builtinId="0"/>
    <cellStyle name="Процентный" xfId="1" builtinId="5"/>
  </cellStyles>
  <dxfs count="11">
    <dxf>
      <fill>
        <patternFill patternType="solid"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Q-GQMXGYL7K3" refreshedDate="46239.504795370369" createdVersion="8" refreshedVersion="8" minRefreshableVersion="3" recordCount="1134" xr:uid="{34C6CEFE-072E-424E-B298-A3D8DE35B994}">
  <cacheSource type="worksheet">
    <worksheetSource ref="A1:X1135" sheet="Эталоны"/>
  </cacheSource>
  <cacheFields count="24">
    <cacheField name="bg_new" numFmtId="0">
      <sharedItems/>
    </cacheField>
    <cacheField name="bg" numFmtId="0">
      <sharedItems count="8">
        <s v="Бьюти"/>
        <s v="Детство"/>
        <s v="FMCG DRY"/>
        <s v="Fashion"/>
        <s v="Durable"/>
        <s v="БТиЭ"/>
        <s v="Спорт"/>
        <s v="FMCG FRESH"/>
      </sharedItems>
    </cacheField>
    <cacheField name="lvl1" numFmtId="0">
      <sharedItems/>
    </cacheField>
    <cacheField name="lvl2" numFmtId="0">
      <sharedItems/>
    </cacheField>
    <cacheField name="lvl3" numFmtId="0">
      <sharedItems/>
    </cacheField>
    <cacheField name="lvl4" numFmtId="0">
      <sharedItems/>
    </cacheField>
    <cacheField name="Поле7" caption="Поле7" numFmtId="0">
      <sharedItems containsBlank="1"/>
    </cacheField>
    <cacheField name="Категория относится к QNF" numFmtId="0">
      <sharedItems containsMixedTypes="1" containsNumber="1" containsInteger="1" minValue="0" maxValue="0" count="3">
        <s v="QNF"/>
        <s v="0"/>
        <n v="0"/>
      </sharedItems>
    </cacheField>
    <cacheField name="Сезонная" numFmtId="0">
      <sharedItems containsMixedTypes="1" containsNumber="1" containsInteger="1" minValue="0" maxValue="0" count="5">
        <s v="0"/>
        <s v="core"/>
        <s v="seasonal"/>
        <n v="0"/>
        <s v="сore"/>
      </sharedItems>
    </cacheField>
    <cacheField name="Есть в сценарии" numFmtId="0">
      <sharedItems/>
    </cacheField>
    <cacheField name=" Эталон МАКСы" numFmtId="0">
      <sharedItems containsSemiMixedTypes="0" containsString="0" containsNumber="1" containsInteger="1" minValue="0" maxValue="58"/>
    </cacheField>
    <cacheField name="Эталон 15 мин" numFmtId="0">
      <sharedItems containsSemiMixedTypes="0" containsString="0" containsNumber="1" containsInteger="1" minValue="0" maxValue="7"/>
    </cacheField>
    <cacheField name="Эталон МАКС + 15 мин" numFmtId="0">
      <sharedItems containsSemiMixedTypes="0" containsString="0" containsNumber="1" containsInteger="1" minValue="0" maxValue="58"/>
    </cacheField>
    <cacheField name="NEW Эталон МАКСы" numFmtId="0">
      <sharedItems containsSemiMixedTypes="0" containsString="0" containsNumber="1" containsInteger="1" minValue="0" maxValue="60"/>
    </cacheField>
    <cacheField name="NEW Эталон 15 мин" numFmtId="0">
      <sharedItems containsSemiMixedTypes="0" containsString="0" containsNumber="1" containsInteger="1" minValue="0" maxValue="12"/>
    </cacheField>
    <cacheField name="NEW Эталон МАКС + 15 мин" numFmtId="0">
      <sharedItems containsSemiMixedTypes="0" containsString="0" containsNumber="1" containsInteger="1" minValue="0" maxValue="60"/>
    </cacheField>
    <cacheField name="отклонение МАКСы" numFmtId="0">
      <sharedItems containsSemiMixedTypes="0" containsString="0" containsNumber="1" containsInteger="1" minValue="-51" maxValue="60"/>
    </cacheField>
    <cacheField name="отклонение 15 мин" numFmtId="0">
      <sharedItems containsSemiMixedTypes="0" containsString="0" containsNumber="1" containsInteger="1" minValue="-6" maxValue="7"/>
    </cacheField>
    <cacheField name="отклонение итого" numFmtId="0">
      <sharedItems containsSemiMixedTypes="0" containsString="0" containsNumber="1" containsInteger="1" minValue="-51" maxValue="60"/>
    </cacheField>
    <cacheField name="Ассорт по прод" numFmtId="0">
      <sharedItems containsSemiMixedTypes="0" containsString="0" containsNumber="1" containsInteger="1" minValue="0" maxValue="3604"/>
    </cacheField>
    <cacheField name="GMV 2 схема" numFmtId="3">
      <sharedItems containsSemiMixedTypes="0" containsString="0" containsNumber="1" minValue="0" maxValue="18020340.139999993"/>
    </cacheField>
    <cacheField name="ШТ 2 сзема" numFmtId="3">
      <sharedItems containsSemiMixedTypes="0" containsString="0" containsNumber="1" containsInteger="1" minValue="0" maxValue="23062"/>
    </cacheField>
    <cacheField name="Доля руб" numFmtId="10">
      <sharedItems containsSemiMixedTypes="0" containsString="0" containsNumber="1" minValue="0" maxValue="5.8243322617638746E-2"/>
    </cacheField>
    <cacheField name="Доля шт" numFmtId="10">
      <sharedItems containsSemiMixedTypes="0" containsString="0" containsNumber="1" minValue="0" maxValue="4.176597147265707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">
  <r>
    <s v="BEAUTY&amp;HEALTH&amp; PHARMA"/>
    <x v="0"/>
    <s v="Аптека"/>
    <s v="Оптические линзы и растворы"/>
    <s v="Оптические линзы и растворы"/>
    <s v="Оптические линзы"/>
    <m/>
    <x v="0"/>
    <x v="0"/>
    <s v="нет"/>
    <n v="0"/>
    <n v="0"/>
    <n v="0"/>
    <n v="60"/>
    <n v="0"/>
    <n v="60"/>
    <n v="60"/>
    <n v="0"/>
    <n v="60"/>
    <n v="158"/>
    <n v="451895.70999999996"/>
    <n v="413"/>
    <n v="1.4605666387303234E-3"/>
    <n v="7.4795534724687233E-4"/>
  </r>
  <r>
    <s v="HOBBIES&amp;SCHOOL"/>
    <x v="1"/>
    <s v="Книги, хобби, канцелярия"/>
    <s v="Подарки"/>
    <s v="Подарочный пакет"/>
    <s v="Подарочный пакет"/>
    <m/>
    <x v="0"/>
    <x v="1"/>
    <s v="да"/>
    <n v="0"/>
    <n v="1"/>
    <n v="1"/>
    <n v="24"/>
    <n v="6"/>
    <n v="30"/>
    <n v="24"/>
    <n v="5"/>
    <n v="29"/>
    <n v="77"/>
    <n v="194831.72999999998"/>
    <n v="1023"/>
    <n v="6.2971326947121027E-4"/>
    <n v="1.8526835841006064E-3"/>
  </r>
  <r>
    <s v="FOODZOO"/>
    <x v="2"/>
    <s v="Детская гигиена и уход"/>
    <s v="Детская гигиена"/>
    <s v="Подгузники"/>
    <s v="Подгузники"/>
    <m/>
    <x v="1"/>
    <x v="0"/>
    <s v="да"/>
    <n v="6"/>
    <n v="0"/>
    <n v="6"/>
    <n v="6"/>
    <n v="0"/>
    <n v="6"/>
    <n v="0"/>
    <n v="0"/>
    <n v="0"/>
    <n v="171"/>
    <n v="4009610.8499999992"/>
    <n v="6213"/>
    <n v="1.2959414555630842E-2"/>
    <n v="1.1251928746839753E-2"/>
  </r>
  <r>
    <s v="TOYS"/>
    <x v="3"/>
    <s v="Одежда"/>
    <s v="Чулки, носки"/>
    <s v="Чулочно-носочные изделия для женщин"/>
    <s v="Колготки для женщин"/>
    <m/>
    <x v="0"/>
    <x v="1"/>
    <s v="да"/>
    <n v="10"/>
    <n v="5"/>
    <n v="15"/>
    <n v="24"/>
    <n v="12"/>
    <n v="36"/>
    <n v="14"/>
    <n v="7"/>
    <n v="21"/>
    <n v="161"/>
    <n v="335839.82"/>
    <n v="1179"/>
    <n v="1.0854638054634263E-3"/>
    <n v="2.135204247951725E-3"/>
  </r>
  <r>
    <s v="HOBBIES&amp;SCHOOL"/>
    <x v="1"/>
    <s v="Книги, хобби, канцелярия"/>
    <s v="Подарки"/>
    <s v="Товары для праздника"/>
    <s v="Аксессуары для праздника"/>
    <m/>
    <x v="0"/>
    <x v="0"/>
    <s v="да"/>
    <n v="0"/>
    <n v="1"/>
    <n v="1"/>
    <n v="12"/>
    <n v="6"/>
    <n v="18"/>
    <n v="12"/>
    <n v="5"/>
    <n v="17"/>
    <n v="17"/>
    <n v="30657.91"/>
    <n v="130"/>
    <n v="9.9089058754721912E-5"/>
    <n v="2.3543388654259905E-4"/>
  </r>
  <r>
    <s v="DIY"/>
    <x v="4"/>
    <s v="Ремонт и обустройство дома"/>
    <s v="Строительство и ремонт"/>
    <s v="Электротовары"/>
    <s v="Розетки/Выключатели/удлинители"/>
    <m/>
    <x v="0"/>
    <x v="0"/>
    <s v="да"/>
    <n v="0"/>
    <n v="1"/>
    <n v="1"/>
    <n v="15"/>
    <n v="3"/>
    <n v="18"/>
    <n v="15"/>
    <n v="2"/>
    <n v="17"/>
    <n v="134"/>
    <n v="374607.39000000019"/>
    <n v="655"/>
    <n v="1.2107639978610103E-3"/>
    <n v="1.1862245821954028E-3"/>
  </r>
  <r>
    <s v="HOBBIES&amp;SCHOOL"/>
    <x v="1"/>
    <s v="Книги, хобби, канцелярия"/>
    <s v="Канцелярия"/>
    <s v="Бумажная продукция"/>
    <s v="Тетради"/>
    <m/>
    <x v="0"/>
    <x v="1"/>
    <s v="да"/>
    <n v="3"/>
    <n v="1"/>
    <n v="4"/>
    <n v="16"/>
    <n v="4"/>
    <n v="20"/>
    <n v="13"/>
    <n v="3"/>
    <n v="16"/>
    <n v="97"/>
    <n v="201169.35999999996"/>
    <n v="942"/>
    <n v="6.5019704646173857E-4"/>
    <n v="1.7059901624856023E-3"/>
  </r>
  <r>
    <s v="DIY"/>
    <x v="5"/>
    <s v="Бытовая техника и Электроника"/>
    <s v="Потребительская электроника"/>
    <s v="Аудиотехника"/>
    <s v="Умные колонки"/>
    <m/>
    <x v="0"/>
    <x v="1"/>
    <s v="да"/>
    <n v="0"/>
    <n v="0"/>
    <n v="0"/>
    <n v="15"/>
    <n v="0"/>
    <n v="15"/>
    <n v="15"/>
    <n v="0"/>
    <n v="15"/>
    <n v="51"/>
    <n v="3217246.7900000005"/>
    <n v="1266"/>
    <n v="1.0398424295809809E-2"/>
    <n v="2.2927638489456184E-3"/>
  </r>
  <r>
    <s v="TOYS"/>
    <x v="3"/>
    <s v="Одежда"/>
    <s v="Чулки, носки"/>
    <s v="Чулочно-носочные изделия для женщин"/>
    <s v="Носки женские"/>
    <m/>
    <x v="0"/>
    <x v="1"/>
    <s v="да"/>
    <n v="2"/>
    <n v="1"/>
    <n v="3"/>
    <n v="10"/>
    <n v="5"/>
    <n v="15"/>
    <n v="8"/>
    <n v="4"/>
    <n v="12"/>
    <n v="53"/>
    <n v="199860.28"/>
    <n v="339"/>
    <n v="6.4596598488465687E-4"/>
    <n v="6.13939134907239E-4"/>
  </r>
  <r>
    <s v="BEAUTY&amp;HEALTH&amp; PHARMA"/>
    <x v="0"/>
    <s v="Парфюмерия и декоративная косметика"/>
    <s v="Декоративная косметика"/>
    <s v="Для губ"/>
    <s v="Блеск для губ"/>
    <m/>
    <x v="0"/>
    <x v="1"/>
    <s v="да"/>
    <n v="0"/>
    <n v="3"/>
    <n v="3"/>
    <n v="7"/>
    <n v="7"/>
    <n v="14"/>
    <n v="7"/>
    <n v="4"/>
    <n v="11"/>
    <n v="184"/>
    <n v="684134.29999999981"/>
    <n v="1457"/>
    <n v="2.2111821663257712E-3"/>
    <n v="2.6386705591735908E-3"/>
  </r>
  <r>
    <s v="HOUSEHOLD"/>
    <x v="2"/>
    <s v="Бытовая химия"/>
    <s v="Освежители воздуха"/>
    <s v="Интерьерные освежители воздуха"/>
    <s v="Саше д/шкафов и комодов"/>
    <m/>
    <x v="0"/>
    <x v="1"/>
    <s v="да"/>
    <n v="0"/>
    <n v="0"/>
    <n v="0"/>
    <n v="8"/>
    <n v="3"/>
    <n v="11"/>
    <n v="8"/>
    <n v="3"/>
    <n v="11"/>
    <n v="52"/>
    <n v="104460.9"/>
    <n v="313"/>
    <n v="3.3762680683944632E-4"/>
    <n v="5.6685235759871926E-4"/>
  </r>
  <r>
    <s v="HOUSEHOLD"/>
    <x v="4"/>
    <s v="Товары для дома"/>
    <s v="Элементы интерьера"/>
    <s v="Свечи интерьерные"/>
    <s v="Свечи"/>
    <m/>
    <x v="0"/>
    <x v="1"/>
    <s v="да"/>
    <n v="0"/>
    <n v="1"/>
    <n v="1"/>
    <n v="10"/>
    <n v="2"/>
    <n v="12"/>
    <n v="10"/>
    <n v="1"/>
    <n v="11"/>
    <n v="5"/>
    <n v="14463"/>
    <n v="11"/>
    <n v="4.6745686733686119E-5"/>
    <n v="1.9921328861296842E-5"/>
  </r>
  <r>
    <s v="HOBBIES&amp;SCHOOL"/>
    <x v="1"/>
    <s v="Книги, хобби, канцелярия"/>
    <s v="Книги"/>
    <s v="Книги для детей и родителей"/>
    <s v="Книги с наклейками"/>
    <m/>
    <x v="0"/>
    <x v="0"/>
    <s v="да"/>
    <n v="0"/>
    <n v="3"/>
    <n v="3"/>
    <n v="12"/>
    <n v="2"/>
    <n v="14"/>
    <n v="12"/>
    <n v="-1"/>
    <n v="11"/>
    <n v="3"/>
    <n v="1166"/>
    <n v="8"/>
    <n v="3.7686144459294764E-6"/>
    <n v="1.4488239171852249E-5"/>
  </r>
  <r>
    <s v="HOUSEHOLD"/>
    <x v="4"/>
    <s v="Праздничные и сезонные товары"/>
    <s v="Пасхальный ассортимент"/>
    <s v="Пасхальные наборы"/>
    <s v="Декорирование пасхальных яиц"/>
    <m/>
    <x v="0"/>
    <x v="2"/>
    <s v="да"/>
    <n v="0"/>
    <n v="0"/>
    <n v="0"/>
    <n v="0"/>
    <n v="0"/>
    <n v="0"/>
    <n v="0"/>
    <n v="0"/>
    <n v="0"/>
    <n v="13"/>
    <n v="45827.9"/>
    <n v="1589"/>
    <n v="1.4811979928525853E-4"/>
    <n v="2.8777265055091529E-3"/>
  </r>
  <r>
    <s v="BEAUTY&amp;HEALTH&amp; PHARMA"/>
    <x v="2"/>
    <s v="Уход"/>
    <s v="Средства для душа"/>
    <s v="Прочие средства для душа"/>
    <s v="Прочие средства для душа"/>
    <m/>
    <x v="0"/>
    <x v="1"/>
    <s v="нет"/>
    <n v="0"/>
    <n v="3"/>
    <n v="3"/>
    <n v="7"/>
    <n v="6"/>
    <n v="13"/>
    <n v="7"/>
    <n v="3"/>
    <n v="10"/>
    <n v="44"/>
    <n v="113866.83000000002"/>
    <n v="953"/>
    <n v="3.6802759901389013E-4"/>
    <n v="1.7259114913468993E-3"/>
  </r>
  <r>
    <s v="DIY"/>
    <x v="5"/>
    <s v="Смартфоны и гаджеты"/>
    <s v="Смартфоны"/>
    <s v="Аксессуары для смартфонов"/>
    <s v="Чехлы, пленки, защитные стекла"/>
    <m/>
    <x v="0"/>
    <x v="0"/>
    <s v="да"/>
    <n v="0"/>
    <n v="5"/>
    <n v="5"/>
    <n v="10"/>
    <n v="5"/>
    <n v="15"/>
    <n v="10"/>
    <n v="0"/>
    <n v="10"/>
    <n v="244"/>
    <n v="211883.53"/>
    <n v="433"/>
    <n v="6.8482618525946102E-4"/>
    <n v="7.8417594517650295E-4"/>
  </r>
  <r>
    <s v="DIY"/>
    <x v="5"/>
    <s v="Бытовая техника и Электроника"/>
    <s v="Малая бытовая техника"/>
    <s v="Техника для красоты и здоровья"/>
    <s v="Аксессуары для электрических зубных щеток и ирригаторов"/>
    <m/>
    <x v="0"/>
    <x v="1"/>
    <s v="да"/>
    <n v="0"/>
    <n v="0"/>
    <n v="0"/>
    <n v="10"/>
    <n v="0"/>
    <n v="10"/>
    <n v="10"/>
    <n v="0"/>
    <n v="10"/>
    <n v="31"/>
    <n v="166563.31999999998"/>
    <n v="179"/>
    <n v="5.3834728466035508E-4"/>
    <n v="3.2417435147019408E-4"/>
  </r>
  <r>
    <s v="BEAUTY&amp;HEALTH&amp; PHARMA"/>
    <x v="2"/>
    <s v="Уход"/>
    <s v="Средства по уходу за волосами"/>
    <s v="Шампуни"/>
    <s v="Шампуни женские"/>
    <m/>
    <x v="1"/>
    <x v="0"/>
    <s v="да"/>
    <n v="23"/>
    <n v="0"/>
    <n v="23"/>
    <n v="23"/>
    <n v="0"/>
    <n v="23"/>
    <n v="0"/>
    <n v="0"/>
    <n v="0"/>
    <n v="711"/>
    <n v="3516232.959999999"/>
    <n v="7423"/>
    <n v="1.1364773866474578E-2"/>
    <n v="1.3443274921582406E-2"/>
  </r>
  <r>
    <s v="FOODZOO"/>
    <x v="2"/>
    <s v="Кофе, какао"/>
    <s v="Кофе"/>
    <s v="Кофе натуральный"/>
    <s v="Кофе молотый"/>
    <m/>
    <x v="1"/>
    <x v="1"/>
    <s v="да"/>
    <n v="5"/>
    <n v="0"/>
    <n v="5"/>
    <n v="5"/>
    <n v="0"/>
    <n v="5"/>
    <n v="0"/>
    <n v="0"/>
    <n v="0"/>
    <n v="73"/>
    <n v="3214075.0900000003"/>
    <n v="2584"/>
    <n v="1.0388173082741066E-2"/>
    <n v="4.6797012525082761E-3"/>
  </r>
  <r>
    <s v="FOODZOO"/>
    <x v="2"/>
    <s v="Бытовая химия"/>
    <s v="Средства для стирки"/>
    <s v="Сухие средства для стирки"/>
    <s v="Сухие средства для стирки"/>
    <m/>
    <x v="1"/>
    <x v="0"/>
    <s v="да"/>
    <n v="10"/>
    <n v="0"/>
    <n v="10"/>
    <n v="10"/>
    <n v="0"/>
    <n v="10"/>
    <n v="0"/>
    <n v="0"/>
    <n v="0"/>
    <n v="51"/>
    <n v="3123162.3799999994"/>
    <n v="7663"/>
    <n v="1.0094335216339179E-2"/>
    <n v="1.3877922096737973E-2"/>
  </r>
  <r>
    <s v="FOODZOO"/>
    <x v="2"/>
    <s v="Бытовая химия"/>
    <s v="Средства для стирки"/>
    <s v="Жидкие средства для стирки"/>
    <s v="Жидкие средства для стирки"/>
    <m/>
    <x v="1"/>
    <x v="0"/>
    <s v="да"/>
    <n v="49"/>
    <n v="0"/>
    <n v="49"/>
    <n v="49"/>
    <n v="0"/>
    <n v="49"/>
    <n v="0"/>
    <n v="0"/>
    <n v="0"/>
    <n v="109"/>
    <n v="2722137.3499999992"/>
    <n v="5855"/>
    <n v="8.7981870849178218E-3"/>
    <n v="1.0603580043899365E-2"/>
  </r>
  <r>
    <s v="DIY"/>
    <x v="5"/>
    <s v="Смартфоны и гаджеты"/>
    <s v="Смартфоны"/>
    <s v="Смартфоны Android"/>
    <s v="Смартфоны Realme"/>
    <m/>
    <x v="0"/>
    <x v="0"/>
    <s v="да"/>
    <n v="0"/>
    <n v="0"/>
    <n v="0"/>
    <n v="10"/>
    <n v="0"/>
    <n v="10"/>
    <n v="10"/>
    <n v="0"/>
    <n v="10"/>
    <n v="0"/>
    <n v="0"/>
    <n v="0"/>
    <n v="0"/>
    <n v="0"/>
  </r>
  <r>
    <s v="TOYS"/>
    <x v="1"/>
    <s v="Детские товары"/>
    <s v="Игры и игрушки"/>
    <s v="Игрушки для всех"/>
    <s v="Игрушки-антистресс"/>
    <m/>
    <x v="0"/>
    <x v="1"/>
    <s v="да"/>
    <n v="1"/>
    <n v="3"/>
    <n v="4"/>
    <n v="14"/>
    <n v="0"/>
    <n v="14"/>
    <n v="13"/>
    <n v="-3"/>
    <n v="10"/>
    <n v="96"/>
    <n v="134631.27000000002"/>
    <n v="741"/>
    <n v="4.3514009347841493E-4"/>
    <n v="1.3419731532928146E-3"/>
  </r>
  <r>
    <s v="DIY"/>
    <x v="5"/>
    <s v="Смартфоны и гаджеты"/>
    <s v="Смартфоны"/>
    <s v="Смартфоны Android"/>
    <s v="Смартфоны Xiaomi"/>
    <m/>
    <x v="0"/>
    <x v="0"/>
    <s v="да"/>
    <n v="1"/>
    <n v="0"/>
    <n v="1"/>
    <n v="10"/>
    <n v="0"/>
    <n v="10"/>
    <n v="9"/>
    <n v="0"/>
    <n v="9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Инструменты для маникюра и педикюра"/>
    <m/>
    <x v="0"/>
    <x v="0"/>
    <s v="да"/>
    <n v="2"/>
    <n v="1"/>
    <n v="3"/>
    <n v="6"/>
    <n v="5"/>
    <n v="11"/>
    <n v="4"/>
    <n v="4"/>
    <n v="8"/>
    <n v="107"/>
    <n v="326046.0199999999"/>
    <n v="1112"/>
    <n v="1.053809383370335E-3"/>
    <n v="2.0138652448874624E-3"/>
  </r>
  <r>
    <s v="HOBBIES&amp;SCHOOL"/>
    <x v="1"/>
    <s v="Книги, хобби, канцелярия"/>
    <s v="Подарки"/>
    <s v="Товары для праздника"/>
    <s v="Свечи для торта"/>
    <m/>
    <x v="0"/>
    <x v="0"/>
    <s v="да"/>
    <n v="0"/>
    <n v="1"/>
    <n v="1"/>
    <n v="5"/>
    <n v="4"/>
    <n v="9"/>
    <n v="5"/>
    <n v="3"/>
    <n v="8"/>
    <n v="78"/>
    <n v="248091.72999999998"/>
    <n v="1890"/>
    <n v="8.018542689482291E-4"/>
    <n v="3.4228465043500936E-3"/>
  </r>
  <r>
    <s v="HOUSEHOLD"/>
    <x v="4"/>
    <s v="Товары для дома"/>
    <s v="Текстиль для ванной"/>
    <s v="Полотенце"/>
    <s v="Полотенце 50х70"/>
    <m/>
    <x v="0"/>
    <x v="3"/>
    <s v="да"/>
    <n v="1"/>
    <n v="0"/>
    <n v="1"/>
    <n v="6"/>
    <n v="3"/>
    <n v="9"/>
    <n v="5"/>
    <n v="3"/>
    <n v="8"/>
    <n v="0"/>
    <n v="0"/>
    <n v="0"/>
    <n v="0"/>
    <n v="0"/>
  </r>
  <r>
    <s v="BEAUTY&amp;HEALTH&amp; PHARMA"/>
    <x v="2"/>
    <s v="Уход"/>
    <s v="Средства по уходу за волосами"/>
    <s v="Шампуни"/>
    <s v="Шампуни женские-селектив"/>
    <m/>
    <x v="0"/>
    <x v="0"/>
    <s v="да"/>
    <n v="0"/>
    <n v="1"/>
    <n v="1"/>
    <n v="6"/>
    <n v="3"/>
    <n v="9"/>
    <n v="6"/>
    <n v="2"/>
    <n v="8"/>
    <n v="18"/>
    <n v="108462.51000000001"/>
    <n v="266"/>
    <n v="3.505603619449145E-4"/>
    <n v="4.8173395246408729E-4"/>
  </r>
  <r>
    <s v="HOBBIES&amp;SCHOOL"/>
    <x v="1"/>
    <s v="Книги, хобби, канцелярия"/>
    <s v="Хобби"/>
    <s v="Товары для рисования"/>
    <s v="Маркеры и фломастеры"/>
    <m/>
    <x v="0"/>
    <x v="0"/>
    <s v="да"/>
    <n v="2"/>
    <n v="1"/>
    <n v="3"/>
    <n v="9"/>
    <n v="2"/>
    <n v="11"/>
    <n v="7"/>
    <n v="1"/>
    <n v="8"/>
    <n v="35"/>
    <n v="213601.14999999997"/>
    <n v="1219"/>
    <n v="6.9037768401127681E-4"/>
    <n v="2.2076454438109865E-3"/>
  </r>
  <r>
    <s v="DIY"/>
    <x v="5"/>
    <s v="Бытовая техника и Электроника"/>
    <s v="Малая бытовая техника"/>
    <s v="Техника для красоты и здоровья"/>
    <s v="Электрические зубные щетки и ирригаторы"/>
    <m/>
    <x v="0"/>
    <x v="0"/>
    <s v="да"/>
    <n v="7"/>
    <n v="1"/>
    <n v="8"/>
    <n v="15"/>
    <n v="1"/>
    <n v="16"/>
    <n v="8"/>
    <n v="0"/>
    <n v="8"/>
    <n v="67"/>
    <n v="530622.71"/>
    <n v="246"/>
    <n v="1.7150192197635051E-3"/>
    <n v="4.4551335453445667E-4"/>
  </r>
  <r>
    <s v="FOODZOO"/>
    <x v="2"/>
    <s v="Снэки"/>
    <s v="Орехи и сухофрукты"/>
    <s v="Орехи"/>
    <s v="Прочие орехи"/>
    <m/>
    <x v="1"/>
    <x v="0"/>
    <s v="да"/>
    <n v="1"/>
    <n v="0"/>
    <n v="1"/>
    <n v="1"/>
    <n v="0"/>
    <n v="1"/>
    <n v="0"/>
    <n v="0"/>
    <n v="0"/>
    <n v="30"/>
    <n v="2560712.6600000006"/>
    <n v="2516"/>
    <n v="8.276448303902657E-3"/>
    <n v="4.5565512195475319E-3"/>
  </r>
  <r>
    <s v="HOBBIES&amp;SCHOOL"/>
    <x v="1"/>
    <s v="Книги, хобби, канцелярия"/>
    <s v="Хобби"/>
    <s v="Товары для рисования"/>
    <s v="Раскраски"/>
    <m/>
    <x v="0"/>
    <x v="0"/>
    <s v="да"/>
    <n v="1"/>
    <n v="1"/>
    <n v="2"/>
    <n v="9"/>
    <n v="1"/>
    <n v="10"/>
    <n v="8"/>
    <n v="0"/>
    <n v="8"/>
    <n v="31"/>
    <n v="72349.650000000009"/>
    <n v="520"/>
    <n v="2.3384042551281438E-4"/>
    <n v="9.417355461703962E-4"/>
  </r>
  <r>
    <s v="HOUSEHOLD"/>
    <x v="4"/>
    <s v="Праздничные и сезонные товары"/>
    <s v="Подарки"/>
    <s v="Подарочные наборы"/>
    <s v="Подарочные наборы"/>
    <m/>
    <x v="1"/>
    <x v="0"/>
    <s v="да"/>
    <n v="6"/>
    <n v="0"/>
    <n v="6"/>
    <n v="0"/>
    <n v="0"/>
    <n v="0"/>
    <n v="-6"/>
    <n v="0"/>
    <n v="-6"/>
    <n v="27"/>
    <n v="2130039.7699999996"/>
    <n v="941"/>
    <n v="6.8844756840705807E-3"/>
    <n v="1.7041791325891208E-3"/>
  </r>
  <r>
    <s v="TOYS"/>
    <x v="1"/>
    <s v="Детские товары"/>
    <s v="Игры и игрушки"/>
    <s v="Игрушки для малышей"/>
    <s v="Развивающие книжки для малышей"/>
    <m/>
    <x v="0"/>
    <x v="1"/>
    <s v="да"/>
    <n v="0"/>
    <n v="4"/>
    <n v="4"/>
    <n v="10"/>
    <n v="2"/>
    <n v="12"/>
    <n v="10"/>
    <n v="-2"/>
    <n v="8"/>
    <n v="13"/>
    <n v="36255.96"/>
    <n v="80"/>
    <n v="1.1718244820500965E-4"/>
    <n v="1.4488239171852249E-4"/>
  </r>
  <r>
    <s v="BEAUTY&amp;HEALTH&amp; PHARMA"/>
    <x v="0"/>
    <s v="Парфюмерия и декоративная косметика"/>
    <s v="Декоративная косметика"/>
    <s v="Для глаз"/>
    <s v="Карандаши для глаз"/>
    <m/>
    <x v="0"/>
    <x v="1"/>
    <s v="да"/>
    <n v="1"/>
    <n v="1"/>
    <n v="2"/>
    <n v="4"/>
    <n v="5"/>
    <n v="9"/>
    <n v="3"/>
    <n v="4"/>
    <n v="7"/>
    <n v="124"/>
    <n v="135513.31000000003"/>
    <n v="476"/>
    <n v="4.3799092425533402E-4"/>
    <n v="8.6205023072520885E-4"/>
  </r>
  <r>
    <s v="BEAUTY&amp;HEALTH&amp; PHARMA"/>
    <x v="2"/>
    <s v="Гигиена"/>
    <s v="Средства личной гигиены"/>
    <s v="Презервативы и Лубриканты"/>
    <s v="Презервативы"/>
    <m/>
    <x v="1"/>
    <x v="0"/>
    <s v="да"/>
    <n v="18"/>
    <n v="0"/>
    <n v="18"/>
    <n v="18"/>
    <n v="0"/>
    <n v="18"/>
    <n v="0"/>
    <n v="0"/>
    <n v="0"/>
    <n v="320"/>
    <n v="2031081.7500000009"/>
    <n v="6702"/>
    <n v="6.5646346688796953E-3"/>
    <n v="1.2137522366219221E-2"/>
  </r>
  <r>
    <s v="FOODZOO"/>
    <x v="2"/>
    <s v="Бытовая химия"/>
    <s v="Мытье посуды"/>
    <s v="Средства для ручного мытья посуды"/>
    <s v="Средства для ручного мытья посуды"/>
    <m/>
    <x v="1"/>
    <x v="0"/>
    <s v="да"/>
    <n v="14"/>
    <n v="0"/>
    <n v="14"/>
    <n v="14"/>
    <n v="0"/>
    <n v="14"/>
    <n v="0"/>
    <n v="0"/>
    <n v="0"/>
    <n v="89"/>
    <n v="1839704.1400000004"/>
    <n v="4245"/>
    <n v="5.9460854187309304E-3"/>
    <n v="7.6878219105640999E-3"/>
  </r>
  <r>
    <s v="HOUSEHOLD"/>
    <x v="4"/>
    <s v="Посуда и кухонные принадлежности"/>
    <s v="Фильтры для воды кухонные"/>
    <s v="Фильтры-кувшины"/>
    <s v="Фильтры-кувшины"/>
    <m/>
    <x v="0"/>
    <x v="0"/>
    <s v="нет"/>
    <n v="4"/>
    <n v="1"/>
    <n v="5"/>
    <n v="12"/>
    <n v="0"/>
    <n v="12"/>
    <n v="8"/>
    <n v="-1"/>
    <n v="7"/>
    <n v="27"/>
    <n v="291673.67"/>
    <n v="384"/>
    <n v="9.4271492818118934E-4"/>
    <n v="6.9543548024890791E-4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лица и тела"/>
    <m/>
    <x v="0"/>
    <x v="1"/>
    <s v="да"/>
    <n v="0"/>
    <n v="1"/>
    <n v="1"/>
    <n v="3"/>
    <n v="4"/>
    <n v="7"/>
    <n v="3"/>
    <n v="3"/>
    <n v="6"/>
    <n v="32"/>
    <n v="137478.88"/>
    <n v="515"/>
    <n v="4.4434381919228555E-4"/>
    <n v="9.3268039668798852E-4"/>
  </r>
  <r>
    <s v="DIY"/>
    <x v="4"/>
    <s v="Компьютеры и аксессуары"/>
    <s v="Элементы питания"/>
    <s v="Батарейки"/>
    <s v="Батарейки АА"/>
    <m/>
    <x v="0"/>
    <x v="0"/>
    <s v="да"/>
    <n v="1"/>
    <n v="1"/>
    <n v="2"/>
    <n v="5"/>
    <n v="3"/>
    <n v="8"/>
    <n v="4"/>
    <n v="2"/>
    <n v="6"/>
    <n v="76"/>
    <n v="225227.81999999995"/>
    <n v="809"/>
    <n v="7.2795610298216433E-4"/>
    <n v="1.4651231862535586E-3"/>
  </r>
  <r>
    <s v="TOYS"/>
    <x v="3"/>
    <s v="Одежда"/>
    <s v="Чулки, носки"/>
    <s v="Чулочно-носочные изделия для женщин"/>
    <s v="Гольфы для женщин"/>
    <m/>
    <x v="0"/>
    <x v="1"/>
    <s v="да"/>
    <n v="0"/>
    <n v="0"/>
    <n v="0"/>
    <n v="4"/>
    <n v="2"/>
    <n v="6"/>
    <n v="4"/>
    <n v="2"/>
    <n v="6"/>
    <n v="6"/>
    <n v="3545"/>
    <n v="6"/>
    <n v="1.1457751467255569E-5"/>
    <n v="1.0866179378889186E-5"/>
  </r>
  <r>
    <s v="BEAUTY&amp;HEALTH&amp; PHARMA"/>
    <x v="0"/>
    <s v="Парфюмерия и декоративная косметика"/>
    <s v="Декоративная косметика"/>
    <s v="Для губ"/>
    <s v="Карандаши для губ"/>
    <m/>
    <x v="0"/>
    <x v="1"/>
    <s v="да"/>
    <n v="0"/>
    <n v="1"/>
    <n v="1"/>
    <n v="5"/>
    <n v="2"/>
    <n v="7"/>
    <n v="5"/>
    <n v="1"/>
    <n v="6"/>
    <n v="119"/>
    <n v="368266.80999999982"/>
    <n v="835"/>
    <n v="1.1902706862112907E-3"/>
    <n v="1.5122099635620785E-3"/>
  </r>
  <r>
    <s v="BEAUTY&amp;HEALTH&amp; PHARMA"/>
    <x v="0"/>
    <s v="Парфюмерия и декоративная косметика"/>
    <s v="Декоративная косметика"/>
    <s v="Для губ"/>
    <s v="Покрытие для губ"/>
    <m/>
    <x v="0"/>
    <x v="1"/>
    <s v="да"/>
    <n v="0"/>
    <n v="1"/>
    <n v="1"/>
    <n v="5"/>
    <n v="2"/>
    <n v="7"/>
    <n v="5"/>
    <n v="1"/>
    <n v="6"/>
    <n v="1"/>
    <n v="0"/>
    <n v="0"/>
    <n v="0"/>
    <n v="0"/>
  </r>
  <r>
    <s v="HOBBIES&amp;SCHOOL"/>
    <x v="1"/>
    <s v="Книги, хобби, канцелярия"/>
    <s v="Канцелярия"/>
    <s v="Бумажная продукция"/>
    <s v="Записные книжки, блокноты"/>
    <m/>
    <x v="0"/>
    <x v="0"/>
    <s v="да"/>
    <n v="0"/>
    <n v="3"/>
    <n v="3"/>
    <n v="6"/>
    <n v="3"/>
    <n v="9"/>
    <n v="6"/>
    <n v="0"/>
    <n v="6"/>
    <n v="42"/>
    <n v="77775.98000000001"/>
    <n v="430"/>
    <n v="2.5137880083561068E-4"/>
    <n v="7.7874285548705838E-4"/>
  </r>
  <r>
    <s v="TOYS"/>
    <x v="1"/>
    <s v="Детские товары"/>
    <s v="Аксессуары для детей"/>
    <s v="Детская бижутерия"/>
    <s v="Детская бижутерия"/>
    <m/>
    <x v="0"/>
    <x v="0"/>
    <s v="да"/>
    <n v="0"/>
    <n v="2"/>
    <n v="2"/>
    <n v="6"/>
    <n v="2"/>
    <n v="8"/>
    <n v="6"/>
    <n v="0"/>
    <n v="6"/>
    <n v="46"/>
    <n v="13299.15"/>
    <n v="168"/>
    <n v="4.2984021276657797E-5"/>
    <n v="3.0425302260889722E-4"/>
  </r>
  <r>
    <s v="BEAUTY&amp;HEALTH&amp; PHARMA"/>
    <x v="0"/>
    <s v="Парфюмерия и декоративная косметика"/>
    <s v="Декоративная косметика"/>
    <s v="Для лица"/>
    <s v="Румяна"/>
    <m/>
    <x v="0"/>
    <x v="1"/>
    <s v="да"/>
    <n v="0"/>
    <n v="1"/>
    <n v="1"/>
    <n v="6"/>
    <n v="1"/>
    <n v="7"/>
    <n v="6"/>
    <n v="0"/>
    <n v="6"/>
    <n v="100"/>
    <n v="713841.70999999973"/>
    <n v="1232"/>
    <n v="2.3071991255686096E-3"/>
    <n v="2.2311888324652463E-3"/>
  </r>
  <r>
    <s v="HOBBIES&amp;SCHOOL"/>
    <x v="1"/>
    <s v="Книги, хобби, канцелярия"/>
    <s v="Канцелярия"/>
    <s v="Организация рабочего места"/>
    <s v="Пеналы"/>
    <m/>
    <x v="0"/>
    <x v="0"/>
    <s v="да"/>
    <n v="0"/>
    <n v="0"/>
    <n v="0"/>
    <n v="6"/>
    <n v="0"/>
    <n v="6"/>
    <n v="6"/>
    <n v="0"/>
    <n v="6"/>
    <n v="22"/>
    <n v="35548.86"/>
    <n v="331"/>
    <n v="1.1489703887849444E-4"/>
    <n v="5.9945089573538676E-4"/>
  </r>
  <r>
    <s v="DIY"/>
    <x v="5"/>
    <s v="Смартфоны и гаджеты"/>
    <s v="Смартфоны"/>
    <s v="Смартфоны Android"/>
    <s v="Смартфоны Samsung"/>
    <m/>
    <x v="0"/>
    <x v="0"/>
    <s v="да"/>
    <n v="0"/>
    <n v="0"/>
    <n v="0"/>
    <n v="6"/>
    <n v="0"/>
    <n v="6"/>
    <n v="6"/>
    <n v="0"/>
    <n v="6"/>
    <n v="3"/>
    <n v="256592"/>
    <n v="5"/>
    <n v="8.2932788843047701E-4"/>
    <n v="9.0551494824076554E-6"/>
  </r>
  <r>
    <s v="FOODZOO"/>
    <x v="2"/>
    <s v="Детская гигиена и уход"/>
    <s v="Детская гигиена"/>
    <s v="Подгузники"/>
    <s v="Подгузники-трусики"/>
    <m/>
    <x v="1"/>
    <x v="0"/>
    <s v="да"/>
    <n v="36"/>
    <n v="0"/>
    <n v="36"/>
    <n v="36"/>
    <n v="0"/>
    <n v="36"/>
    <n v="0"/>
    <n v="0"/>
    <n v="0"/>
    <n v="52"/>
    <n v="1636440.98"/>
    <n v="2840"/>
    <n v="5.2891210267058224E-3"/>
    <n v="5.143324906007548E-3"/>
  </r>
  <r>
    <s v="HOUSEHOLD"/>
    <x v="4"/>
    <s v="Товары для дома"/>
    <s v="Сервировка стола"/>
    <s v="Столовая посуда"/>
    <s v="Наборы тарелок"/>
    <m/>
    <x v="1"/>
    <x v="0"/>
    <s v="да"/>
    <n v="2"/>
    <n v="0"/>
    <n v="2"/>
    <n v="5"/>
    <n v="0"/>
    <n v="5"/>
    <n v="3"/>
    <n v="0"/>
    <n v="3"/>
    <n v="115"/>
    <n v="1634193.5700000003"/>
    <n v="2196"/>
    <n v="5.2818572001261267E-3"/>
    <n v="3.9770216526734421E-3"/>
  </r>
  <r>
    <s v="BEAUTY&amp;HEALTH&amp; PHARMA"/>
    <x v="2"/>
    <s v="Уход"/>
    <s v="Средства по уходу за волосами"/>
    <s v="Бальзамы и кондиционеры"/>
    <s v="Бальзамы и кондиционеры"/>
    <m/>
    <x v="1"/>
    <x v="0"/>
    <s v="да"/>
    <n v="12"/>
    <n v="0"/>
    <n v="12"/>
    <n v="12"/>
    <n v="0"/>
    <n v="12"/>
    <n v="0"/>
    <n v="0"/>
    <n v="0"/>
    <n v="398"/>
    <n v="1632877.0600000008"/>
    <n v="3067"/>
    <n v="5.2776021241362396E-3"/>
    <n v="5.554428692508856E-3"/>
  </r>
  <r>
    <s v="FOODZOO"/>
    <x v="2"/>
    <s v="Гигиена"/>
    <s v="Уход за зубами и полостью рта"/>
    <s v="Пасты зубные"/>
    <s v="Пасты зубные"/>
    <m/>
    <x v="1"/>
    <x v="0"/>
    <s v="да"/>
    <n v="36"/>
    <n v="0"/>
    <n v="36"/>
    <n v="36"/>
    <n v="0"/>
    <n v="36"/>
    <n v="0"/>
    <n v="0"/>
    <n v="0"/>
    <n v="184"/>
    <n v="1626321.6499999994"/>
    <n v="3400"/>
    <n v="5.2564144630513378E-3"/>
    <n v="6.1575016480372056E-3"/>
  </r>
  <r>
    <s v="HOBBIES&amp;SCHOOL"/>
    <x v="1"/>
    <s v="Книги, хобби, канцелярия"/>
    <s v="Канцелярия"/>
    <s v="Организация рабочего места"/>
    <s v="Наклейки"/>
    <m/>
    <x v="0"/>
    <x v="0"/>
    <s v="да"/>
    <n v="0"/>
    <n v="1"/>
    <n v="1"/>
    <n v="7"/>
    <n v="0"/>
    <n v="7"/>
    <n v="7"/>
    <n v="-1"/>
    <n v="6"/>
    <n v="104"/>
    <n v="112407.6"/>
    <n v="707"/>
    <n v="3.6331123944447874E-4"/>
    <n v="1.2803981368124425E-3"/>
  </r>
  <r>
    <s v="HOBBIES&amp;SCHOOL"/>
    <x v="1"/>
    <s v="Книги, хобби, канцелярия"/>
    <s v="Подарки"/>
    <s v="Открытки"/>
    <s v="Открытки"/>
    <m/>
    <x v="0"/>
    <x v="0"/>
    <s v="да"/>
    <n v="0"/>
    <n v="6"/>
    <n v="6"/>
    <n v="8"/>
    <n v="4"/>
    <n v="12"/>
    <n v="8"/>
    <n v="-2"/>
    <n v="6"/>
    <n v="119"/>
    <n v="166901.40999999995"/>
    <n v="892"/>
    <n v="5.3944002124528144E-4"/>
    <n v="1.6154386676615257E-3"/>
  </r>
  <r>
    <s v="BEAUTY&amp;HEALTH&amp; PHARMA"/>
    <x v="0"/>
    <s v="Аптека"/>
    <s v="Оптические линзы и растворы"/>
    <s v="Оптические линзы и растворы"/>
    <s v="Растворы"/>
    <m/>
    <x v="0"/>
    <x v="0"/>
    <s v="нет"/>
    <n v="1"/>
    <n v="0"/>
    <n v="1"/>
    <n v="4"/>
    <n v="2"/>
    <n v="6"/>
    <n v="3"/>
    <n v="2"/>
    <n v="5"/>
    <n v="22"/>
    <n v="318732.46999999997"/>
    <n v="937"/>
    <n v="1.0301713471944968E-3"/>
    <n v="1.6969350130031946E-3"/>
  </r>
  <r>
    <s v="HOUSEHOLD"/>
    <x v="4"/>
    <s v="Товары для дома"/>
    <s v="Порядок в доме и уборка"/>
    <s v="Швабры и насадки"/>
    <s v="Сменная насадка для швабры"/>
    <m/>
    <x v="0"/>
    <x v="0"/>
    <s v="да"/>
    <n v="0"/>
    <n v="0"/>
    <n v="0"/>
    <n v="3"/>
    <n v="2"/>
    <n v="5"/>
    <n v="3"/>
    <n v="2"/>
    <n v="5"/>
    <n v="21"/>
    <n v="35789.600000000006"/>
    <n v="122"/>
    <n v="1.1567513171015231E-4"/>
    <n v="2.2094564737074681E-4"/>
  </r>
  <r>
    <s v="HOBBIES&amp;SCHOOL"/>
    <x v="1"/>
    <s v="Книги, хобби, канцелярия"/>
    <s v="Подарки"/>
    <s v="Подарочные конверты"/>
    <s v="Подарочные конверты"/>
    <m/>
    <x v="0"/>
    <x v="0"/>
    <s v="да"/>
    <n v="0"/>
    <n v="1"/>
    <n v="1"/>
    <n v="4"/>
    <n v="2"/>
    <n v="6"/>
    <n v="4"/>
    <n v="1"/>
    <n v="5"/>
    <n v="24"/>
    <n v="41758.049999999996"/>
    <n v="288"/>
    <n v="1.3496568650415552E-4"/>
    <n v="5.2157661018668096E-4"/>
  </r>
  <r>
    <s v="BEAUTY&amp;HEALTH&amp; PHARMA"/>
    <x v="2"/>
    <s v="Уход"/>
    <s v="Средства по уходу за волосами"/>
    <s v="Аксессуары для волос"/>
    <s v="Расчески"/>
    <m/>
    <x v="0"/>
    <x v="1"/>
    <s v="да"/>
    <n v="0"/>
    <n v="1"/>
    <n v="1"/>
    <n v="4"/>
    <n v="2"/>
    <n v="6"/>
    <n v="4"/>
    <n v="1"/>
    <n v="5"/>
    <n v="201"/>
    <n v="903854.89999999991"/>
    <n v="3245"/>
    <n v="2.9213384503980633E-3"/>
    <n v="5.8767920140825681E-3"/>
  </r>
  <r>
    <s v="BEAUTY&amp;HEALTH&amp; PHARMA"/>
    <x v="0"/>
    <s v="Парфюмерия и декоративная косметика"/>
    <s v="Декоративная косметика"/>
    <s v="Для лица"/>
    <s v="Бронзеры и контуринг"/>
    <m/>
    <x v="0"/>
    <x v="0"/>
    <s v="да"/>
    <n v="0"/>
    <n v="1"/>
    <n v="1"/>
    <n v="4"/>
    <n v="2"/>
    <n v="6"/>
    <n v="4"/>
    <n v="1"/>
    <n v="5"/>
    <n v="38"/>
    <n v="340629.27"/>
    <n v="562"/>
    <n v="1.100943728669307E-3"/>
    <n v="1.0177988018226205E-3"/>
  </r>
  <r>
    <s v="BEAUTY&amp;HEALTH&amp; PHARMA"/>
    <x v="0"/>
    <s v="Парфюмерия и декоративная косметика"/>
    <s v="Декоративная косметика"/>
    <s v="Для губ"/>
    <s v="Помады для губ"/>
    <m/>
    <x v="0"/>
    <x v="1"/>
    <s v="да"/>
    <n v="0"/>
    <n v="2"/>
    <n v="2"/>
    <n v="4"/>
    <n v="3"/>
    <n v="7"/>
    <n v="4"/>
    <n v="1"/>
    <n v="5"/>
    <n v="499"/>
    <n v="2332526.6899999972"/>
    <n v="3471"/>
    <n v="7.5389312002144548E-3"/>
    <n v="6.2860847706873949E-3"/>
  </r>
  <r>
    <s v="BEAUTY&amp;HEALTH&amp; PHARMA"/>
    <x v="2"/>
    <s v="Уход"/>
    <s v="Средства для душа"/>
    <s v="Средства для ванн"/>
    <s v="Пены для ванн"/>
    <m/>
    <x v="0"/>
    <x v="1"/>
    <s v="да"/>
    <n v="0"/>
    <n v="0"/>
    <n v="0"/>
    <n v="4"/>
    <n v="1"/>
    <n v="5"/>
    <n v="4"/>
    <n v="1"/>
    <n v="5"/>
    <n v="13"/>
    <n v="33370.14"/>
    <n v="142"/>
    <n v="1.0785522441397002E-4"/>
    <n v="2.5716624530037742E-4"/>
  </r>
  <r>
    <s v="DIY"/>
    <x v="5"/>
    <s v="Бытовая техника и Электроника"/>
    <s v="Малая бытовая техника"/>
    <s v="Техника для красоты и здоровья"/>
    <s v="Фен"/>
    <m/>
    <x v="0"/>
    <x v="1"/>
    <s v="да"/>
    <n v="0"/>
    <n v="0"/>
    <n v="0"/>
    <n v="4"/>
    <n v="1"/>
    <n v="5"/>
    <n v="4"/>
    <n v="1"/>
    <n v="5"/>
    <n v="27"/>
    <n v="397763.54000000004"/>
    <n v="175"/>
    <n v="1.285606709183574E-3"/>
    <n v="3.1693023188426796E-4"/>
  </r>
  <r>
    <s v="HOBBIES&amp;SCHOOL"/>
    <x v="1"/>
    <s v="Книги, хобби, канцелярия"/>
    <s v="Подарки"/>
    <s v="Упаковочная бумага"/>
    <s v="Упаковочная бумага"/>
    <m/>
    <x v="0"/>
    <x v="1"/>
    <s v="да"/>
    <n v="0"/>
    <n v="0"/>
    <n v="0"/>
    <n v="4"/>
    <n v="1"/>
    <n v="5"/>
    <n v="4"/>
    <n v="1"/>
    <n v="5"/>
    <n v="8"/>
    <n v="36268.92"/>
    <n v="142"/>
    <n v="1.1722433606368824E-4"/>
    <n v="2.5716624530037742E-4"/>
  </r>
  <r>
    <s v="BEAUTY&amp;HEALTH&amp; PHARMA"/>
    <x v="2"/>
    <s v="Уход"/>
    <s v="Средства для душа"/>
    <s v="Средства для ванн"/>
    <s v="Соли для ванн"/>
    <m/>
    <x v="0"/>
    <x v="1"/>
    <s v="да"/>
    <n v="1"/>
    <n v="4"/>
    <n v="5"/>
    <n v="6"/>
    <n v="4"/>
    <n v="10"/>
    <n v="5"/>
    <n v="0"/>
    <n v="5"/>
    <n v="48"/>
    <n v="144417.18000000002"/>
    <n v="565"/>
    <n v="4.667690143982826E-4"/>
    <n v="1.023231891512065E-3"/>
  </r>
  <r>
    <s v="BEAUTY&amp;HEALTH&amp; PHARMA"/>
    <x v="2"/>
    <s v="Уход"/>
    <s v="Уход за кожей лица"/>
    <s v="Маски для лица"/>
    <s v="Маски-саше тканевые"/>
    <m/>
    <x v="1"/>
    <x v="1"/>
    <s v="да"/>
    <n v="2"/>
    <n v="0"/>
    <n v="2"/>
    <n v="2"/>
    <n v="0"/>
    <n v="2"/>
    <n v="0"/>
    <n v="0"/>
    <n v="0"/>
    <n v="352"/>
    <n v="1487150.7100000007"/>
    <n v="3781"/>
    <n v="4.8066017572729672E-3"/>
    <n v="6.8475040385966692E-3"/>
  </r>
  <r>
    <s v="DIY"/>
    <x v="4"/>
    <s v="Ремонт и обустройство дома"/>
    <s v="Строительство и ремонт"/>
    <s v="Скобяные изделия"/>
    <s v="Крепеж"/>
    <m/>
    <x v="0"/>
    <x v="0"/>
    <s v="да"/>
    <n v="0"/>
    <n v="2"/>
    <n v="2"/>
    <n v="5"/>
    <n v="2"/>
    <n v="7"/>
    <n v="5"/>
    <n v="0"/>
    <n v="5"/>
    <n v="729"/>
    <n v="259310.43999999986"/>
    <n v="8208"/>
    <n v="8.381141253553415E-4"/>
    <n v="1.4864933390320408E-2"/>
  </r>
  <r>
    <s v="DIY"/>
    <x v="5"/>
    <s v="Бытовая техника и Электроника"/>
    <s v="Малая бытовая техника"/>
    <s v="Техника для приготовления кофе"/>
    <s v="Капучинатор"/>
    <m/>
    <x v="0"/>
    <x v="0"/>
    <s v="да"/>
    <n v="0"/>
    <n v="1"/>
    <n v="1"/>
    <n v="5"/>
    <n v="1"/>
    <n v="6"/>
    <n v="5"/>
    <n v="0"/>
    <n v="5"/>
    <n v="5"/>
    <n v="9247"/>
    <n v="14"/>
    <n v="2.9887116450694567E-5"/>
    <n v="2.5354418550741437E-5"/>
  </r>
  <r>
    <s v="BEAUTY&amp;HEALTH&amp; PHARMA"/>
    <x v="2"/>
    <s v="Уход"/>
    <s v="Уход за кожей губ"/>
    <s v="Увлажнение и питание губ"/>
    <s v="Бальзамы для губ"/>
    <m/>
    <x v="0"/>
    <x v="1"/>
    <s v="да"/>
    <n v="0"/>
    <n v="2"/>
    <n v="2"/>
    <n v="5"/>
    <n v="2"/>
    <n v="7"/>
    <n v="5"/>
    <n v="0"/>
    <n v="5"/>
    <n v="112"/>
    <n v="2949755.8599999985"/>
    <n v="23062"/>
    <n v="9.5338701080284055E-3"/>
    <n v="4.1765971472657072E-2"/>
  </r>
  <r>
    <s v="BEAUTY&amp;HEALTH&amp; PHARMA"/>
    <x v="2"/>
    <s v="Уход"/>
    <s v="Уход за кожей лица"/>
    <s v="Очищение"/>
    <s v="Прочие средства для очищения"/>
    <m/>
    <x v="0"/>
    <x v="1"/>
    <s v="нет"/>
    <n v="0"/>
    <n v="2"/>
    <n v="2"/>
    <n v="5"/>
    <n v="2"/>
    <n v="7"/>
    <n v="5"/>
    <n v="0"/>
    <n v="5"/>
    <n v="40"/>
    <n v="224932.90999999997"/>
    <n v="219"/>
    <n v="7.2700292795107604E-4"/>
    <n v="3.9661554732945531E-4"/>
  </r>
  <r>
    <s v="DIY"/>
    <x v="5"/>
    <s v="Бытовая техника и Электроника"/>
    <s v="Малая бытовая техника"/>
    <s v="Техника для дома"/>
    <s v="Утюги"/>
    <m/>
    <x v="0"/>
    <x v="0"/>
    <s v="да"/>
    <n v="0"/>
    <n v="1"/>
    <n v="1"/>
    <n v="5"/>
    <n v="1"/>
    <n v="6"/>
    <n v="5"/>
    <n v="0"/>
    <n v="5"/>
    <n v="40"/>
    <n v="343559.13999999996"/>
    <n v="227"/>
    <n v="1.1104133259306236E-3"/>
    <n v="4.1110378650130756E-4"/>
  </r>
  <r>
    <s v="TOYS"/>
    <x v="3"/>
    <s v="Аксессуары"/>
    <s v="Аксессуары для волос"/>
    <s v="Повязки"/>
    <s v="Повязка"/>
    <m/>
    <x v="0"/>
    <x v="1"/>
    <s v="да"/>
    <n v="0"/>
    <n v="0"/>
    <n v="0"/>
    <n v="5"/>
    <n v="0"/>
    <n v="5"/>
    <n v="5"/>
    <n v="0"/>
    <n v="5"/>
    <n v="2"/>
    <n v="649"/>
    <n v="4"/>
    <n v="2.0976250217909349E-6"/>
    <n v="7.2441195859261247E-6"/>
  </r>
  <r>
    <s v="DIY"/>
    <x v="4"/>
    <s v="Автомобильные товары и запчасти"/>
    <s v="Автокосметика и автохимия"/>
    <s v="Ароматизаторы в машину"/>
    <s v="Автомобильный ароматизатор"/>
    <m/>
    <x v="0"/>
    <x v="1"/>
    <s v="да"/>
    <n v="0"/>
    <n v="1"/>
    <n v="1"/>
    <n v="5"/>
    <n v="1"/>
    <n v="6"/>
    <n v="5"/>
    <n v="0"/>
    <n v="5"/>
    <n v="33"/>
    <n v="26152.010000000002"/>
    <n v="120"/>
    <n v="8.4525594061828587E-5"/>
    <n v="2.1732358757778374E-4"/>
  </r>
  <r>
    <s v="BEAUTY&amp;HEALTH&amp; PHARMA"/>
    <x v="2"/>
    <s v="Уход"/>
    <s v="Средства по уходу за волосами"/>
    <s v="Бальзамы и кондиционеры"/>
    <s v="Бальзамы и кондиционеры-селектив"/>
    <m/>
    <x v="0"/>
    <x v="0"/>
    <s v="да"/>
    <n v="0"/>
    <n v="2"/>
    <n v="2"/>
    <n v="5"/>
    <n v="2"/>
    <n v="7"/>
    <n v="5"/>
    <n v="0"/>
    <n v="5"/>
    <n v="0"/>
    <n v="0"/>
    <n v="0"/>
    <n v="0"/>
    <n v="0"/>
  </r>
  <r>
    <s v="FOODZOO"/>
    <x v="2"/>
    <s v="Гигиена"/>
    <s v="Мыло туалетное"/>
    <s v="Мыло жидкое"/>
    <s v="Жидкое мыло основное"/>
    <m/>
    <x v="1"/>
    <x v="0"/>
    <s v="да"/>
    <n v="0"/>
    <n v="0"/>
    <n v="0"/>
    <n v="0"/>
    <n v="0"/>
    <n v="0"/>
    <n v="0"/>
    <n v="0"/>
    <n v="0"/>
    <n v="136"/>
    <n v="1471688.4100000008"/>
    <n v="5010"/>
    <n v="4.7566262451397816E-3"/>
    <n v="9.0732597813724704E-3"/>
  </r>
  <r>
    <s v="FOODZOO"/>
    <x v="2"/>
    <s v="Бытовая химия"/>
    <s v="Средства для стирки"/>
    <s v="Ополаскиватели для белья"/>
    <s v="Ополаскиватели для белья"/>
    <m/>
    <x v="1"/>
    <x v="0"/>
    <s v="да"/>
    <n v="25"/>
    <n v="0"/>
    <n v="25"/>
    <n v="25"/>
    <n v="0"/>
    <n v="25"/>
    <n v="0"/>
    <n v="0"/>
    <n v="0"/>
    <n v="67"/>
    <n v="1438618.2"/>
    <n v="3458"/>
    <n v="4.6497404208379594E-3"/>
    <n v="6.2625413820331342E-3"/>
  </r>
  <r>
    <s v="BEAUTY&amp;HEALTH&amp; PHARMA"/>
    <x v="2"/>
    <s v="Уход"/>
    <s v="Средства для душа"/>
    <s v="Женские гели"/>
    <s v="Женские гели"/>
    <m/>
    <x v="1"/>
    <x v="1"/>
    <s v="да"/>
    <n v="12"/>
    <n v="0"/>
    <n v="12"/>
    <n v="12"/>
    <n v="0"/>
    <n v="12"/>
    <n v="0"/>
    <n v="0"/>
    <n v="0"/>
    <n v="274"/>
    <n v="1383561.7099999995"/>
    <n v="3452"/>
    <n v="4.4717930078395259E-3"/>
    <n v="6.2516752026542458E-3"/>
  </r>
  <r>
    <s v="HOUSEHOLD"/>
    <x v="4"/>
    <s v="Товары для дома"/>
    <s v="Приготовление пищи"/>
    <s v="Кастрюли, сковороды, пароварки, горшки"/>
    <s v="Сковороды"/>
    <m/>
    <x v="1"/>
    <x v="1"/>
    <s v="да"/>
    <n v="35"/>
    <n v="0"/>
    <n v="35"/>
    <n v="10"/>
    <n v="0"/>
    <n v="10"/>
    <n v="-25"/>
    <n v="0"/>
    <n v="-25"/>
    <n v="213"/>
    <n v="1337587.07"/>
    <n v="770"/>
    <n v="4.3231989319815452E-3"/>
    <n v="1.3944930202907789E-3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взрослых кошек"/>
    <m/>
    <x v="1"/>
    <x v="0"/>
    <s v="да"/>
    <n v="0"/>
    <n v="0"/>
    <n v="0"/>
    <n v="0"/>
    <n v="0"/>
    <n v="0"/>
    <n v="0"/>
    <n v="0"/>
    <n v="0"/>
    <n v="79"/>
    <n v="1182548.24"/>
    <n v="1272"/>
    <n v="3.8220998115544402E-3"/>
    <n v="2.3036300283245078E-3"/>
  </r>
  <r>
    <s v="FOODZOO"/>
    <x v="2"/>
    <s v="Гигиена"/>
    <s v="Женская гигиена"/>
    <s v="Прокладки и тампоны"/>
    <s v="Прокладки"/>
    <m/>
    <x v="1"/>
    <x v="0"/>
    <s v="да"/>
    <n v="1"/>
    <n v="0"/>
    <n v="1"/>
    <n v="1"/>
    <n v="0"/>
    <n v="1"/>
    <n v="0"/>
    <n v="0"/>
    <n v="0"/>
    <n v="52"/>
    <n v="1103023.5699999996"/>
    <n v="15554"/>
    <n v="3.5650690909971709E-3"/>
    <n v="2.8168759009873735E-2"/>
  </r>
  <r>
    <s v="FOODZOO"/>
    <x v="2"/>
    <s v="Продукция для животных"/>
    <s v="Корма и лакомства для собак"/>
    <s v="Сухие корма для собак"/>
    <s v="Сухие корма для собак всех пород"/>
    <m/>
    <x v="1"/>
    <x v="0"/>
    <s v="да"/>
    <n v="1"/>
    <n v="0"/>
    <n v="1"/>
    <n v="1"/>
    <n v="0"/>
    <n v="1"/>
    <n v="0"/>
    <n v="0"/>
    <n v="0"/>
    <n v="66"/>
    <n v="969088.58"/>
    <n v="905"/>
    <n v="3.1321794356546162E-3"/>
    <n v="1.6389820563157856E-3"/>
  </r>
  <r>
    <s v="HOUSEHOLD"/>
    <x v="4"/>
    <s v="Товары для дома"/>
    <s v="Посуда и кухонные принадлежности"/>
    <s v="Посуда из пластика"/>
    <s v="Кружки, бутылки"/>
    <m/>
    <x v="1"/>
    <x v="0"/>
    <s v="да"/>
    <n v="0"/>
    <n v="0"/>
    <n v="0"/>
    <n v="5"/>
    <n v="0"/>
    <n v="5"/>
    <n v="5"/>
    <n v="0"/>
    <n v="5"/>
    <n v="129"/>
    <n v="953857.26"/>
    <n v="1606"/>
    <n v="3.0829504711755648E-3"/>
    <n v="2.908514013749339E-3"/>
  </r>
  <r>
    <s v="DIY"/>
    <x v="4"/>
    <s v="Мебель"/>
    <s v="Хранение вещей и одежды и организация порядка"/>
    <s v="Хранение вещей и одежды"/>
    <s v="Контейнеры, корзины для хранения вещей и одежды"/>
    <m/>
    <x v="1"/>
    <x v="0"/>
    <s v="да"/>
    <n v="0"/>
    <n v="0"/>
    <n v="0"/>
    <n v="5"/>
    <n v="0"/>
    <n v="5"/>
    <n v="5"/>
    <n v="0"/>
    <n v="5"/>
    <n v="276"/>
    <n v="951522.33999999985"/>
    <n v="2508"/>
    <n v="3.0754038045871512E-3"/>
    <n v="4.5420629803756803E-3"/>
  </r>
  <r>
    <s v="BEAUTY&amp;HEALTH&amp; PHARMA"/>
    <x v="2"/>
    <s v="Гигиена"/>
    <s v="Средства личной гигиены"/>
    <s v="Презервативы и Лубриканты"/>
    <s v="Лубриканты"/>
    <m/>
    <x v="1"/>
    <x v="0"/>
    <s v="да"/>
    <n v="10"/>
    <n v="0"/>
    <n v="10"/>
    <n v="10"/>
    <n v="0"/>
    <n v="10"/>
    <n v="0"/>
    <n v="0"/>
    <n v="0"/>
    <n v="100"/>
    <n v="904554.78000000014"/>
    <n v="1861"/>
    <n v="2.9236005240502226E-3"/>
    <n v="3.3703266373521293E-3"/>
  </r>
  <r>
    <s v="HOUSEHOLD"/>
    <x v="4"/>
    <s v="Товары для дома"/>
    <s v="Декор для дома и ароматы"/>
    <s v="Диффузоры, масла, духи, свечи"/>
    <s v="Ароматический диффузор"/>
    <m/>
    <x v="1"/>
    <x v="1"/>
    <s v="да"/>
    <n v="6"/>
    <n v="0"/>
    <n v="6"/>
    <n v="10"/>
    <n v="0"/>
    <n v="10"/>
    <n v="4"/>
    <n v="0"/>
    <n v="4"/>
    <n v="142"/>
    <n v="886137.82000000007"/>
    <n v="1922"/>
    <n v="2.8640752911976452E-3"/>
    <n v="3.480799461037503E-3"/>
  </r>
  <r>
    <s v="FOODZOO"/>
    <x v="2"/>
    <s v="Бытовая химия"/>
    <s v="Средства для стирки"/>
    <s v="Таблетированные средства для стирки"/>
    <s v="Таблетированные средства для стирки"/>
    <m/>
    <x v="1"/>
    <x v="0"/>
    <s v="да"/>
    <n v="6"/>
    <n v="0"/>
    <n v="6"/>
    <n v="6"/>
    <n v="0"/>
    <n v="6"/>
    <n v="0"/>
    <n v="0"/>
    <n v="0"/>
    <n v="68"/>
    <n v="865757.7100000002"/>
    <n v="1358"/>
    <n v="2.7982049850607399E-3"/>
    <n v="2.4593785994219191E-3"/>
  </r>
  <r>
    <s v="HOUSEHOLD"/>
    <x v="4"/>
    <s v="Товары для дома"/>
    <s v="Сервировка стола"/>
    <s v="Питьевое стекло"/>
    <s v="Наборы стаканов, бокалов"/>
    <m/>
    <x v="1"/>
    <x v="0"/>
    <s v="да"/>
    <n v="0"/>
    <n v="0"/>
    <n v="0"/>
    <n v="5"/>
    <n v="0"/>
    <n v="5"/>
    <n v="5"/>
    <n v="0"/>
    <n v="5"/>
    <n v="85"/>
    <n v="744624.45000000019"/>
    <n v="1091"/>
    <n v="2.4066916458510218E-3"/>
    <n v="1.9758336170613506E-3"/>
  </r>
  <r>
    <s v="DIY"/>
    <x v="4"/>
    <s v="Строительство и ремонт"/>
    <s v="Отделочные материалы"/>
    <s v="Декор"/>
    <s v="Элементы декора"/>
    <m/>
    <x v="1"/>
    <x v="0"/>
    <s v="да"/>
    <n v="0"/>
    <n v="0"/>
    <n v="0"/>
    <n v="0"/>
    <n v="0"/>
    <n v="0"/>
    <n v="0"/>
    <n v="0"/>
    <n v="0"/>
    <n v="118"/>
    <n v="668487.36000000022"/>
    <n v="2476"/>
    <n v="2.1606098814899305E-3"/>
    <n v="4.4841100236882713E-3"/>
  </r>
  <r>
    <s v="HOUSEHOLD"/>
    <x v="4"/>
    <s v="Товары для дома"/>
    <s v="Хозяйственные товары"/>
    <s v="Товары для уборки"/>
    <s v="Салфетки влажные для уборки дома"/>
    <m/>
    <x v="1"/>
    <x v="0"/>
    <s v="да"/>
    <n v="0"/>
    <n v="0"/>
    <n v="0"/>
    <n v="2"/>
    <n v="0"/>
    <n v="2"/>
    <n v="2"/>
    <n v="0"/>
    <n v="2"/>
    <n v="77"/>
    <n v="601239.65999999992"/>
    <n v="3485"/>
    <n v="1.9432594066395594E-3"/>
    <n v="6.3114391892381359E-3"/>
  </r>
  <r>
    <s v="HOUSEHOLD"/>
    <x v="4"/>
    <s v="Товары для дома"/>
    <s v="Приготовление пищи"/>
    <s v="Кастрюли, сковороды, пароварки, горшки"/>
    <s v="Кастрюли, ковши"/>
    <m/>
    <x v="1"/>
    <x v="0"/>
    <s v="да"/>
    <n v="10"/>
    <n v="0"/>
    <n v="10"/>
    <n v="10"/>
    <n v="0"/>
    <n v="10"/>
    <n v="0"/>
    <n v="0"/>
    <n v="0"/>
    <n v="78"/>
    <n v="599020.36"/>
    <n v="348"/>
    <n v="1.9360864340496357E-3"/>
    <n v="6.3023840397557281E-4"/>
  </r>
  <r>
    <s v="HOUSEHOLD"/>
    <x v="4"/>
    <s v="Товары для дома"/>
    <s v="Хозяйственные товары"/>
    <s v="Товары для уборки"/>
    <s v="Пакеты для мусора"/>
    <m/>
    <x v="1"/>
    <x v="0"/>
    <s v="да"/>
    <n v="10"/>
    <n v="0"/>
    <n v="10"/>
    <n v="7"/>
    <n v="0"/>
    <n v="7"/>
    <n v="-3"/>
    <n v="0"/>
    <n v="-3"/>
    <n v="99"/>
    <n v="598224.55000000005"/>
    <n v="3409"/>
    <n v="1.9335143062089713E-3"/>
    <n v="6.1738009171055392E-3"/>
  </r>
  <r>
    <s v="FOODZOO"/>
    <x v="2"/>
    <s v="Продукция для животных"/>
    <s v="Наполнители и уход"/>
    <s v="Наполнители"/>
    <s v="Комкующиеся наполнители"/>
    <m/>
    <x v="1"/>
    <x v="0"/>
    <s v="да"/>
    <n v="0"/>
    <n v="0"/>
    <n v="0"/>
    <n v="0"/>
    <n v="0"/>
    <n v="0"/>
    <n v="0"/>
    <n v="0"/>
    <n v="0"/>
    <n v="4"/>
    <n v="578541.09000000008"/>
    <n v="2867"/>
    <n v="1.8698956340804337E-3"/>
    <n v="5.1922227132125496E-3"/>
  </r>
  <r>
    <s v="FOODZOO"/>
    <x v="2"/>
    <s v="Гигиена"/>
    <s v="Бритье"/>
    <s v="Бритвы и лезвия"/>
    <s v="Системные станки"/>
    <m/>
    <x v="1"/>
    <x v="1"/>
    <s v="да"/>
    <n v="0"/>
    <n v="0"/>
    <n v="0"/>
    <n v="0"/>
    <n v="0"/>
    <n v="0"/>
    <n v="0"/>
    <n v="0"/>
    <n v="0"/>
    <n v="38"/>
    <n v="566448.24999999988"/>
    <n v="1041"/>
    <n v="1.8308105127113816E-3"/>
    <n v="1.885282122237274E-3"/>
  </r>
  <r>
    <s v="TOYS"/>
    <x v="3"/>
    <s v="Аксессуары"/>
    <s v="Аксессуары прочие"/>
    <s v="Косметички"/>
    <s v="Косметичка"/>
    <m/>
    <x v="0"/>
    <x v="1"/>
    <s v="да"/>
    <n v="0"/>
    <n v="2"/>
    <n v="2"/>
    <n v="7"/>
    <n v="0"/>
    <n v="7"/>
    <n v="7"/>
    <n v="-2"/>
    <n v="5"/>
    <n v="21"/>
    <n v="39283.14"/>
    <n v="43"/>
    <n v="1.2696655993608066E-4"/>
    <n v="7.7874285548705836E-5"/>
  </r>
  <r>
    <s v="BEAUTY&amp;HEALTH&amp; PHARMA"/>
    <x v="0"/>
    <s v="Парфюмерия и декоративная косметика"/>
    <s v="Декоративная косметика"/>
    <s v="Для бровей"/>
    <s v="Гели для бровей"/>
    <m/>
    <x v="0"/>
    <x v="0"/>
    <s v="да"/>
    <n v="2"/>
    <n v="1"/>
    <n v="3"/>
    <n v="4"/>
    <n v="3"/>
    <n v="7"/>
    <n v="2"/>
    <n v="2"/>
    <n v="4"/>
    <n v="56"/>
    <n v="287782.7"/>
    <n v="1067"/>
    <n v="9.3013897127666267E-4"/>
    <n v="1.9323688995457936E-3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ухода"/>
    <m/>
    <x v="0"/>
    <x v="0"/>
    <s v="да"/>
    <n v="4"/>
    <n v="1"/>
    <n v="5"/>
    <n v="6"/>
    <n v="3"/>
    <n v="9"/>
    <n v="2"/>
    <n v="2"/>
    <n v="4"/>
    <n v="83"/>
    <n v="262314.96000000008"/>
    <n v="983"/>
    <n v="8.4782499797548291E-4"/>
    <n v="1.7802423882413451E-3"/>
  </r>
  <r>
    <s v="FOODZOO"/>
    <x v="2"/>
    <s v="Продукция для животных"/>
    <s v="Аксессуары и игрушки"/>
    <s v="Игрушки для кошек"/>
    <s v="Дразнилки"/>
    <m/>
    <x v="0"/>
    <x v="0"/>
    <s v="да"/>
    <n v="1"/>
    <n v="2"/>
    <n v="3"/>
    <n v="3"/>
    <n v="4"/>
    <n v="7"/>
    <n v="2"/>
    <n v="2"/>
    <n v="4"/>
    <n v="26"/>
    <n v="56129.319999999992"/>
    <n v="852"/>
    <n v="1.8141489381835185E-4"/>
    <n v="1.5429974718022645E-3"/>
  </r>
  <r>
    <s v="DIY"/>
    <x v="4"/>
    <s v="Компьютеры и аксессуары"/>
    <s v="Элементы питания"/>
    <s v="Батарейки"/>
    <s v="Батарейки ААА"/>
    <m/>
    <x v="0"/>
    <x v="0"/>
    <s v="да"/>
    <n v="2"/>
    <n v="2"/>
    <n v="4"/>
    <n v="5"/>
    <n v="3"/>
    <n v="8"/>
    <n v="3"/>
    <n v="1"/>
    <n v="4"/>
    <n v="3"/>
    <n v="459"/>
    <n v="3"/>
    <n v="1.4835283282003685E-6"/>
    <n v="5.4330896894445931E-6"/>
  </r>
  <r>
    <s v="BEAUTY&amp;HEALTH&amp; PHARMA"/>
    <x v="0"/>
    <s v="Парфюмерия и декоративная косметика"/>
    <s v="Декоративная косметика"/>
    <s v="Для глаз"/>
    <s v="Подводки для глаз"/>
    <m/>
    <x v="0"/>
    <x v="0"/>
    <s v="да"/>
    <n v="0"/>
    <n v="1"/>
    <n v="1"/>
    <n v="3"/>
    <n v="2"/>
    <n v="5"/>
    <n v="3"/>
    <n v="1"/>
    <n v="4"/>
    <n v="94"/>
    <n v="231744.27999999997"/>
    <n v="465"/>
    <n v="7.4901787424487586E-4"/>
    <n v="8.4212890186391193E-4"/>
  </r>
  <r>
    <s v="DIY"/>
    <x v="5"/>
    <s v="Бытовая техника и Электроника"/>
    <s v="Малая бытовая техника"/>
    <s v="Техника для кухни"/>
    <s v="Весы кухонные"/>
    <m/>
    <x v="0"/>
    <x v="0"/>
    <s v="да"/>
    <n v="0"/>
    <n v="0"/>
    <n v="0"/>
    <n v="3"/>
    <n v="1"/>
    <n v="4"/>
    <n v="3"/>
    <n v="1"/>
    <n v="4"/>
    <n v="7"/>
    <n v="80260.429999999993"/>
    <n v="82"/>
    <n v="2.594087615218795E-4"/>
    <n v="1.4850445151148555E-4"/>
  </r>
  <r>
    <s v="DIY"/>
    <x v="5"/>
    <s v="Бытовая техника и Электроника"/>
    <s v="Малая бытовая техника"/>
    <s v="Техника для красоты и здоровья"/>
    <s v="Весы напольные"/>
    <m/>
    <x v="0"/>
    <x v="0"/>
    <s v="да"/>
    <n v="1"/>
    <n v="0"/>
    <n v="1"/>
    <n v="5"/>
    <n v="0"/>
    <n v="5"/>
    <n v="4"/>
    <n v="0"/>
    <n v="4"/>
    <n v="11"/>
    <n v="89354.27"/>
    <n v="71"/>
    <n v="2.8880085139578289E-4"/>
    <n v="1.2858312265018871E-4"/>
  </r>
  <r>
    <s v="BEAUTY&amp;HEALTH&amp; PHARMA"/>
    <x v="2"/>
    <s v="Гигиена"/>
    <s v="Первая помощь"/>
    <s v="Расходные материалы"/>
    <s v="Расходные материалы"/>
    <m/>
    <x v="1"/>
    <x v="0"/>
    <s v="да"/>
    <n v="47"/>
    <n v="0"/>
    <n v="47"/>
    <n v="47"/>
    <n v="0"/>
    <n v="47"/>
    <n v="0"/>
    <n v="0"/>
    <n v="0"/>
    <n v="97"/>
    <n v="558087.93000000017"/>
    <n v="1234"/>
    <n v="1.803789223925282E-3"/>
    <n v="2.2348108922582094E-3"/>
  </r>
  <r>
    <s v="HOUSEHOLD"/>
    <x v="4"/>
    <s v="Товары для дома"/>
    <s v="Приготовление пищи"/>
    <s v="Разделка и нарезка продуктов"/>
    <s v="Кухонные ножи, наборы кухонных ножей, точилки для ножей"/>
    <m/>
    <x v="1"/>
    <x v="0"/>
    <s v="нет"/>
    <n v="4"/>
    <n v="0"/>
    <n v="4"/>
    <n v="5"/>
    <n v="0"/>
    <n v="5"/>
    <n v="1"/>
    <n v="0"/>
    <n v="1"/>
    <n v="106"/>
    <n v="554401.42000000016"/>
    <n v="714"/>
    <n v="1.791874099704816E-3"/>
    <n v="1.2930753460878132E-3"/>
  </r>
  <r>
    <s v="FOODZOO"/>
    <x v="2"/>
    <s v="Консервированные продукты"/>
    <s v="Сладкая консервация"/>
    <s v="Топпинги, сиропы"/>
    <s v="Сиропы"/>
    <m/>
    <x v="1"/>
    <x v="0"/>
    <s v="да"/>
    <n v="1"/>
    <n v="0"/>
    <n v="1"/>
    <n v="1"/>
    <n v="0"/>
    <n v="1"/>
    <n v="0"/>
    <n v="0"/>
    <n v="0"/>
    <n v="71"/>
    <n v="548564.74000000011"/>
    <n v="1619"/>
    <n v="1.7730094371282569E-3"/>
    <n v="2.9320574024035988E-3"/>
  </r>
  <r>
    <s v="FOODZOO"/>
    <x v="2"/>
    <s v="Гигиена"/>
    <s v="Женская гигиена"/>
    <s v="Прокладки и тампоны"/>
    <s v="Прокладки ежедневные"/>
    <m/>
    <x v="1"/>
    <x v="0"/>
    <s v="да"/>
    <n v="0"/>
    <n v="0"/>
    <n v="0"/>
    <n v="0"/>
    <n v="0"/>
    <n v="0"/>
    <n v="0"/>
    <n v="0"/>
    <n v="0"/>
    <n v="7"/>
    <n v="543042.04999999993"/>
    <n v="14140"/>
    <n v="1.7551596178191737E-3"/>
    <n v="2.5607962736248852E-2"/>
  </r>
  <r>
    <s v="FOODZOO"/>
    <x v="2"/>
    <s v="Специальное питание"/>
    <s v="Диетическое питание"/>
    <s v="Зерна, пророщенные злаки"/>
    <s v="Зерна, пророщенные злаки"/>
    <m/>
    <x v="1"/>
    <x v="0"/>
    <s v="да"/>
    <n v="4"/>
    <n v="0"/>
    <n v="4"/>
    <n v="4"/>
    <n v="0"/>
    <n v="4"/>
    <n v="0"/>
    <n v="0"/>
    <n v="0"/>
    <n v="21"/>
    <n v="529770.80000000005"/>
    <n v="1204"/>
    <n v="1.7122657717938384E-3"/>
    <n v="2.1804799953637636E-3"/>
  </r>
  <r>
    <s v="BEAUTY&amp;HEALTH&amp; PHARMA"/>
    <x v="2"/>
    <s v="Уход"/>
    <s v="Средства по уходу за волосами"/>
    <s v="Шампуни"/>
    <s v="Шампуни мужские-селектив"/>
    <m/>
    <x v="0"/>
    <x v="0"/>
    <s v="да"/>
    <n v="0"/>
    <n v="1"/>
    <n v="1"/>
    <n v="4"/>
    <n v="1"/>
    <n v="5"/>
    <n v="4"/>
    <n v="0"/>
    <n v="4"/>
    <n v="1"/>
    <n v="1602.66"/>
    <n v="10"/>
    <n v="5.1799379313150385E-6"/>
    <n v="1.8110298964815311E-5"/>
  </r>
  <r>
    <s v="TOYS"/>
    <x v="3"/>
    <s v="Аксессуары"/>
    <s v="Аксессуары для волос"/>
    <s v="Заколки"/>
    <s v="Заколка бижутерная"/>
    <m/>
    <x v="0"/>
    <x v="1"/>
    <s v="да"/>
    <n v="0"/>
    <n v="1"/>
    <n v="1"/>
    <n v="4"/>
    <n v="1"/>
    <n v="5"/>
    <n v="4"/>
    <n v="0"/>
    <n v="4"/>
    <n v="15"/>
    <n v="7076.4"/>
    <n v="91"/>
    <n v="2.2871546539601497E-5"/>
    <n v="1.6480372057981932E-4"/>
  </r>
  <r>
    <s v="BEAUTY&amp;HEALTH&amp; PHARMA"/>
    <x v="0"/>
    <s v="Парфюмерия и декоративная косметика"/>
    <s v="Декоративная косметика"/>
    <s v="Для лица"/>
    <s v="Хайлайтеры"/>
    <m/>
    <x v="0"/>
    <x v="1"/>
    <s v="да"/>
    <n v="0"/>
    <n v="1"/>
    <n v="1"/>
    <n v="4"/>
    <n v="1"/>
    <n v="5"/>
    <n v="4"/>
    <n v="0"/>
    <n v="4"/>
    <n v="62"/>
    <n v="418921.66999999993"/>
    <n v="863"/>
    <n v="1.3539916443180966E-3"/>
    <n v="1.5629188006635614E-3"/>
  </r>
  <r>
    <s v="FOODZOO"/>
    <x v="2"/>
    <s v="Гигиена"/>
    <s v="Уход за зубами и полостью рта"/>
    <s v="Зубные щетки и насадки"/>
    <s v="Мануальные зубные щетки"/>
    <m/>
    <x v="1"/>
    <x v="0"/>
    <s v="да"/>
    <n v="3"/>
    <n v="0"/>
    <n v="3"/>
    <n v="3"/>
    <n v="0"/>
    <n v="3"/>
    <n v="0"/>
    <n v="0"/>
    <n v="0"/>
    <n v="128"/>
    <n v="516638.96000000008"/>
    <n v="1731"/>
    <n v="1.6698225111372051E-3"/>
    <n v="3.1348927508095302E-3"/>
  </r>
  <r>
    <s v="HOUSEHOLD"/>
    <x v="4"/>
    <s v="Мебель"/>
    <s v="Хранение вещей и одежды и организация порядка"/>
    <s v="Вешалки для одежды"/>
    <s v="Вешалка-плечики"/>
    <m/>
    <x v="1"/>
    <x v="0"/>
    <s v="да"/>
    <n v="2"/>
    <n v="0"/>
    <n v="2"/>
    <n v="10"/>
    <n v="0"/>
    <n v="10"/>
    <n v="8"/>
    <n v="0"/>
    <n v="8"/>
    <n v="61"/>
    <n v="502191.1700000001"/>
    <n v="1144"/>
    <n v="1.6231259844598849E-3"/>
    <n v="2.0718182015748714E-3"/>
  </r>
  <r>
    <s v="DIY"/>
    <x v="2"/>
    <s v="Специальное питание"/>
    <s v="Спортивное питание"/>
    <s v="Протеины, гейнеры, креатины"/>
    <s v="Креатин"/>
    <m/>
    <x v="1"/>
    <x v="0"/>
    <s v="да"/>
    <n v="15"/>
    <n v="0"/>
    <n v="15"/>
    <n v="15"/>
    <n v="0"/>
    <n v="15"/>
    <n v="0"/>
    <n v="0"/>
    <n v="0"/>
    <n v="30"/>
    <n v="501065.49000000005"/>
    <n v="446"/>
    <n v="1.6194876877965109E-3"/>
    <n v="8.0771933383076287E-4"/>
  </r>
  <r>
    <s v="HOUSEHOLD"/>
    <x v="4"/>
    <s v="Товары для дома"/>
    <s v="Сервировка стола"/>
    <s v="Питьевое стекло"/>
    <s v="Комплекты чашек с блюдцами, чайные и кофейные сервизы"/>
    <m/>
    <x v="1"/>
    <x v="0"/>
    <s v="да"/>
    <n v="0"/>
    <n v="0"/>
    <n v="0"/>
    <n v="5"/>
    <n v="0"/>
    <n v="5"/>
    <n v="5"/>
    <n v="0"/>
    <n v="5"/>
    <n v="39"/>
    <n v="497222.02999999997"/>
    <n v="487"/>
    <n v="1.6070652873862602E-3"/>
    <n v="8.8197155958650566E-4"/>
  </r>
  <r>
    <s v="HOUSEHOLD"/>
    <x v="4"/>
    <s v="Товары для дома"/>
    <s v="Сервировка стола"/>
    <s v="Столовая посуда"/>
    <s v="Миски"/>
    <m/>
    <x v="0"/>
    <x v="3"/>
    <s v="да"/>
    <n v="1"/>
    <n v="0"/>
    <n v="1"/>
    <n v="5"/>
    <n v="0"/>
    <n v="5"/>
    <n v="4"/>
    <n v="0"/>
    <n v="4"/>
    <n v="15"/>
    <n v="95965.260000000009"/>
    <n v="104"/>
    <n v="3.1016815192399497E-4"/>
    <n v="1.8834710923407922E-4"/>
  </r>
  <r>
    <s v="DIY"/>
    <x v="6"/>
    <s v="Спорт и активный отдых"/>
    <s v="Индивидуальный тренинг"/>
    <s v="Фитнес"/>
    <s v="Фитнес"/>
    <m/>
    <x v="0"/>
    <x v="0"/>
    <s v="да"/>
    <n v="0"/>
    <n v="1"/>
    <n v="1"/>
    <n v="5"/>
    <n v="0"/>
    <n v="5"/>
    <n v="5"/>
    <n v="-1"/>
    <n v="4"/>
    <n v="41"/>
    <n v="133294.95000000001"/>
    <n v="1021"/>
    <n v="4.308209898279994E-4"/>
    <n v="1.8490615243076432E-3"/>
  </r>
  <r>
    <s v="TOYS"/>
    <x v="1"/>
    <s v="Детские товары"/>
    <s v="Игры и игрушки"/>
    <s v="Игрушки для всех"/>
    <s v="Игровые наборы и фигурки"/>
    <m/>
    <x v="0"/>
    <x v="1"/>
    <s v="да"/>
    <n v="5"/>
    <n v="2"/>
    <n v="7"/>
    <n v="11"/>
    <n v="0"/>
    <n v="11"/>
    <n v="6"/>
    <n v="-2"/>
    <n v="4"/>
    <n v="397"/>
    <n v="1592745.1800000002"/>
    <n v="1791"/>
    <n v="5.1478923619490092E-3"/>
    <n v="3.2435545445984224E-3"/>
  </r>
  <r>
    <s v="TOYS"/>
    <x v="1"/>
    <s v="Детские товары"/>
    <s v="Аксессуары для детей"/>
    <s v="Детские аксессуары для волос"/>
    <s v="Аксессуары для волос детские"/>
    <m/>
    <x v="0"/>
    <x v="1"/>
    <s v="да"/>
    <n v="4"/>
    <n v="7"/>
    <n v="11"/>
    <n v="10"/>
    <n v="5"/>
    <n v="15"/>
    <n v="6"/>
    <n v="-2"/>
    <n v="4"/>
    <n v="28"/>
    <n v="13360.78"/>
    <n v="229"/>
    <n v="4.3183214851531412E-5"/>
    <n v="4.1472584629427062E-4"/>
  </r>
  <r>
    <s v="TOYS"/>
    <x v="1"/>
    <s v="Детские товары"/>
    <s v="Игры и игрушки"/>
    <s v="Настольные игры детские"/>
    <s v="Настольные игры семейные"/>
    <m/>
    <x v="0"/>
    <x v="0"/>
    <s v="да"/>
    <n v="0"/>
    <n v="1"/>
    <n v="1"/>
    <n v="2"/>
    <n v="2"/>
    <n v="4"/>
    <n v="2"/>
    <n v="1"/>
    <n v="3"/>
    <n v="4"/>
    <n v="7180.31"/>
    <n v="284"/>
    <n v="2.3207392789238319E-5"/>
    <n v="5.1433249060075484E-4"/>
  </r>
  <r>
    <s v="FOODZOO"/>
    <x v="2"/>
    <s v="Продукция для животных"/>
    <s v="Наполнители и уход"/>
    <s v="Уход за собаками"/>
    <s v="Уход за зубами для собак"/>
    <m/>
    <x v="0"/>
    <x v="0"/>
    <s v="да"/>
    <n v="0"/>
    <n v="0"/>
    <n v="0"/>
    <n v="2"/>
    <n v="1"/>
    <n v="3"/>
    <n v="2"/>
    <n v="1"/>
    <n v="3"/>
    <n v="2"/>
    <n v="13939"/>
    <n v="34"/>
    <n v="4.5052072694520557E-5"/>
    <n v="6.1575016480372059E-5"/>
  </r>
  <r>
    <s v="FOODZOO"/>
    <x v="2"/>
    <s v="Продукция для животных"/>
    <s v="Наполнители и уход"/>
    <s v="Уход за собаками"/>
    <s v="Уход за лапами для собак"/>
    <m/>
    <x v="0"/>
    <x v="0"/>
    <s v="да"/>
    <n v="0"/>
    <n v="0"/>
    <n v="0"/>
    <n v="2"/>
    <n v="1"/>
    <n v="3"/>
    <n v="2"/>
    <n v="1"/>
    <n v="3"/>
    <n v="4"/>
    <n v="10762.05"/>
    <n v="34"/>
    <n v="3.4783891164507134E-5"/>
    <n v="6.1575016480372059E-5"/>
  </r>
  <r>
    <s v="HOUSEHOLD"/>
    <x v="4"/>
    <s v="Товары для дома"/>
    <s v="Приготовление напитков"/>
    <s v="Приготовление чая и кофе"/>
    <s v="Френч-пресс"/>
    <m/>
    <x v="0"/>
    <x v="3"/>
    <s v="да"/>
    <n v="1"/>
    <n v="0"/>
    <n v="1"/>
    <n v="3"/>
    <n v="1"/>
    <n v="4"/>
    <n v="2"/>
    <n v="1"/>
    <n v="3"/>
    <n v="23"/>
    <n v="149687.15"/>
    <n v="152"/>
    <n v="4.8380202046313241E-4"/>
    <n v="2.7527654426519273E-4"/>
  </r>
  <r>
    <s v="DIY"/>
    <x v="5"/>
    <s v="Бытовая техника и Электроника"/>
    <s v="Малая бытовая техника"/>
    <s v="Техника для дома"/>
    <s v="Отпариватель"/>
    <m/>
    <x v="0"/>
    <x v="0"/>
    <s v="да"/>
    <n v="2"/>
    <n v="1"/>
    <n v="3"/>
    <n v="5"/>
    <n v="1"/>
    <n v="6"/>
    <n v="3"/>
    <n v="0"/>
    <n v="3"/>
    <n v="21"/>
    <n v="253538.28000000003"/>
    <n v="130"/>
    <n v="8.1945799708757505E-4"/>
    <n v="2.3543388654259905E-4"/>
  </r>
  <r>
    <s v="DIY"/>
    <x v="5"/>
    <s v="Компьютеры и аксессуары"/>
    <s v="Комплектующие и аксессуары для ПК"/>
    <s v="Компьютерные комплектующие"/>
    <s v="Флэш диск"/>
    <m/>
    <x v="0"/>
    <x v="0"/>
    <s v="да"/>
    <n v="1"/>
    <n v="1"/>
    <n v="2"/>
    <n v="4"/>
    <n v="1"/>
    <n v="5"/>
    <n v="3"/>
    <n v="0"/>
    <n v="3"/>
    <n v="45"/>
    <n v="119586.57"/>
    <n v="328"/>
    <n v="3.8651430123598333E-4"/>
    <n v="5.9401780604594219E-4"/>
  </r>
  <r>
    <s v="DIY"/>
    <x v="5"/>
    <s v="Компьютеры и аксессуары"/>
    <s v="Элементы питания"/>
    <s v="Аккумуляторы, зарядные устройства"/>
    <s v="Аккумуляторы"/>
    <m/>
    <x v="0"/>
    <x v="0"/>
    <s v="да"/>
    <n v="1"/>
    <n v="0"/>
    <n v="1"/>
    <n v="4"/>
    <n v="0"/>
    <n v="4"/>
    <n v="3"/>
    <n v="0"/>
    <n v="3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Кабели для телефонов и планшетов"/>
    <m/>
    <x v="0"/>
    <x v="0"/>
    <s v="да"/>
    <n v="3"/>
    <n v="2"/>
    <n v="5"/>
    <n v="6"/>
    <n v="2"/>
    <n v="8"/>
    <n v="3"/>
    <n v="0"/>
    <n v="3"/>
    <n v="176"/>
    <n v="320119.31999999995"/>
    <n v="969"/>
    <n v="1.0346537682445287E-3"/>
    <n v="1.7548879696906038E-3"/>
  </r>
  <r>
    <s v="DIY"/>
    <x v="5"/>
    <s v="Смартфоны и гаджеты"/>
    <s v="Мобильная аксессуарика"/>
    <s v="Зарядные устройства для гаджетов"/>
    <s v="Портативные зарядные устройства"/>
    <m/>
    <x v="0"/>
    <x v="0"/>
    <s v="да"/>
    <n v="2"/>
    <n v="1"/>
    <n v="3"/>
    <n v="5"/>
    <n v="1"/>
    <n v="6"/>
    <n v="3"/>
    <n v="0"/>
    <n v="3"/>
    <n v="67"/>
    <n v="271234.34999999998"/>
    <n v="362"/>
    <n v="8.7665325012203389E-4"/>
    <n v="6.5559282252631429E-4"/>
  </r>
  <r>
    <s v="DIY"/>
    <x v="5"/>
    <s v="Смартфоны и гаджеты"/>
    <s v="Мобильная аксессуарика"/>
    <s v="Зарядные устройства для гаджетов"/>
    <s v="Сетевые зарядные устройства"/>
    <m/>
    <x v="0"/>
    <x v="0"/>
    <s v="да"/>
    <n v="3"/>
    <n v="1"/>
    <n v="4"/>
    <n v="6"/>
    <n v="1"/>
    <n v="7"/>
    <n v="3"/>
    <n v="0"/>
    <n v="3"/>
    <n v="109"/>
    <n v="631413.64999999979"/>
    <n v="975"/>
    <n v="2.0407843934365844E-3"/>
    <n v="1.7657541490694929E-3"/>
  </r>
  <r>
    <s v="HOBBIES&amp;SCHOOL"/>
    <x v="1"/>
    <s v="Книги, хобби, канцелярия"/>
    <s v="Хобби"/>
    <s v="Товары для рисования"/>
    <s v="Кисти"/>
    <m/>
    <x v="0"/>
    <x v="0"/>
    <s v="да"/>
    <n v="1"/>
    <n v="1"/>
    <n v="2"/>
    <n v="4"/>
    <n v="1"/>
    <n v="5"/>
    <n v="3"/>
    <n v="0"/>
    <n v="3"/>
    <n v="19"/>
    <n v="25928.57"/>
    <n v="183"/>
    <n v="8.3803416350166065E-5"/>
    <n v="3.3141847105612021E-4"/>
  </r>
  <r>
    <s v="HOBBIES&amp;SCHOOL"/>
    <x v="1"/>
    <s v="Книги, хобби, канцелярия"/>
    <s v="Канцелярия"/>
    <s v="Бумажная продукция"/>
    <s v="Альбомы, скетчбуки, бумага для рисования"/>
    <m/>
    <x v="0"/>
    <x v="0"/>
    <s v="да"/>
    <n v="1"/>
    <n v="1"/>
    <n v="2"/>
    <n v="4"/>
    <n v="1"/>
    <n v="5"/>
    <n v="3"/>
    <n v="0"/>
    <n v="3"/>
    <n v="40"/>
    <n v="67437.22"/>
    <n v="438"/>
    <n v="2.1796302014178746E-4"/>
    <n v="7.9323109465891063E-4"/>
  </r>
  <r>
    <s v="HOUSEHOLD"/>
    <x v="4"/>
    <s v="Товары для дома"/>
    <s v="Декор помещений"/>
    <s v="Декоративные объекты"/>
    <s v="Ваза"/>
    <m/>
    <x v="1"/>
    <x v="1"/>
    <s v="да"/>
    <n v="0"/>
    <n v="0"/>
    <n v="0"/>
    <n v="0"/>
    <n v="0"/>
    <n v="0"/>
    <n v="0"/>
    <n v="0"/>
    <n v="0"/>
    <n v="51"/>
    <n v="488655.05"/>
    <n v="520"/>
    <n v="1.5793760553228049E-3"/>
    <n v="9.417355461703962E-4"/>
  </r>
  <r>
    <s v="HOUSEHOLD"/>
    <x v="4"/>
    <s v="Товары для дома"/>
    <s v="Домашний текстиль"/>
    <s v="Декор окна"/>
    <s v="Защита от солнца на окна"/>
    <m/>
    <x v="0"/>
    <x v="0"/>
    <s v="нет"/>
    <n v="3"/>
    <n v="0"/>
    <n v="3"/>
    <n v="6"/>
    <n v="0"/>
    <n v="6"/>
    <n v="3"/>
    <n v="0"/>
    <n v="3"/>
    <n v="82"/>
    <n v="271847.17000000004"/>
    <n v="381"/>
    <n v="8.7863393820501398E-4"/>
    <n v="6.9000239055946335E-4"/>
  </r>
  <r>
    <s v="BEAUTY&amp;HEALTH&amp; PHARMA"/>
    <x v="2"/>
    <s v="Уход"/>
    <s v="Уход за кожей лица"/>
    <s v="Очищение"/>
    <s v="Мицеллярные средства"/>
    <m/>
    <x v="0"/>
    <x v="1"/>
    <s v="нет"/>
    <n v="0"/>
    <n v="1"/>
    <n v="1"/>
    <n v="3"/>
    <n v="1"/>
    <n v="4"/>
    <n v="3"/>
    <n v="0"/>
    <n v="3"/>
    <n v="79"/>
    <n v="362000.5"/>
    <n v="1507"/>
    <n v="1.1700174217270098E-3"/>
    <n v="2.7292220539976673E-3"/>
  </r>
  <r>
    <s v="TOYS"/>
    <x v="3"/>
    <s v="Аксессуары"/>
    <s v="Аксессуары для волос"/>
    <s v="Заколки"/>
    <s v="Краб"/>
    <m/>
    <x v="0"/>
    <x v="1"/>
    <s v="да"/>
    <n v="0"/>
    <n v="1"/>
    <n v="1"/>
    <n v="3"/>
    <n v="1"/>
    <n v="4"/>
    <n v="3"/>
    <n v="0"/>
    <n v="3"/>
    <n v="22"/>
    <n v="6869.380000000001"/>
    <n v="210"/>
    <n v="2.2202439710616664E-5"/>
    <n v="3.8031627826112151E-4"/>
  </r>
  <r>
    <s v="HOBBIES&amp;SCHOOL"/>
    <x v="1"/>
    <s v="Книги, хобби, канцелярия"/>
    <s v="Подарки"/>
    <s v="Товары для праздника"/>
    <s v="Воздушные шары"/>
    <m/>
    <x v="0"/>
    <x v="0"/>
    <s v="да"/>
    <n v="0"/>
    <n v="1"/>
    <n v="1"/>
    <n v="3"/>
    <n v="1"/>
    <n v="4"/>
    <n v="3"/>
    <n v="0"/>
    <n v="3"/>
    <n v="20"/>
    <n v="45419.82"/>
    <n v="201"/>
    <n v="1.4680084887094044E-4"/>
    <n v="3.6401700919278776E-4"/>
  </r>
  <r>
    <s v="BEAUTY&amp;HEALTH&amp; PHARMA"/>
    <x v="2"/>
    <s v="Уход"/>
    <s v="Уход за кожей лица"/>
    <s v="Сыворотки"/>
    <s v="Сыворотки для кожи вокруг глаз"/>
    <m/>
    <x v="0"/>
    <x v="1"/>
    <s v="да"/>
    <n v="0"/>
    <n v="1"/>
    <n v="1"/>
    <n v="3"/>
    <n v="1"/>
    <n v="4"/>
    <n v="3"/>
    <n v="0"/>
    <n v="3"/>
    <n v="14"/>
    <n v="57339.619999999995"/>
    <n v="123"/>
    <n v="1.8532668975652374E-4"/>
    <n v="2.2275667726722834E-4"/>
  </r>
  <r>
    <s v="BEAUTY&amp;HEALTH&amp; PHARMA"/>
    <x v="2"/>
    <s v="Уход"/>
    <s v="Уход за кожей лица"/>
    <s v="Кремы"/>
    <s v="Уход за кожей вокруг глаз"/>
    <m/>
    <x v="0"/>
    <x v="1"/>
    <s v="да"/>
    <n v="0"/>
    <n v="1"/>
    <n v="1"/>
    <n v="3"/>
    <n v="1"/>
    <n v="4"/>
    <n v="3"/>
    <n v="0"/>
    <n v="3"/>
    <n v="98"/>
    <n v="523906.85999999987"/>
    <n v="744"/>
    <n v="1.693313002502188E-3"/>
    <n v="1.3474062429822591E-3"/>
  </r>
  <r>
    <s v="BEAUTY&amp;HEALTH&amp; PHARMA"/>
    <x v="2"/>
    <s v="Уход"/>
    <s v="Уход за кожей лица"/>
    <s v="Очищение"/>
    <s v="Для снятия макияжа вокруг глаз"/>
    <m/>
    <x v="0"/>
    <x v="1"/>
    <s v="нет"/>
    <n v="0"/>
    <n v="1"/>
    <n v="1"/>
    <n v="3"/>
    <n v="1"/>
    <n v="4"/>
    <n v="3"/>
    <n v="0"/>
    <n v="3"/>
    <n v="57"/>
    <n v="253594.34"/>
    <n v="429"/>
    <n v="8.1963918793306282E-4"/>
    <n v="7.7693182559057682E-4"/>
  </r>
  <r>
    <s v="BEAUTY&amp;HEALTH&amp; PHARMA"/>
    <x v="2"/>
    <s v="Уход"/>
    <s v="Средства по уходу за волосами"/>
    <s v="Скрабы и пилинги для кожи головы"/>
    <s v="Скрабы и пилинги для кожи головы"/>
    <m/>
    <x v="0"/>
    <x v="0"/>
    <s v="да"/>
    <n v="0"/>
    <n v="1"/>
    <n v="1"/>
    <n v="3"/>
    <n v="1"/>
    <n v="4"/>
    <n v="3"/>
    <n v="0"/>
    <n v="3"/>
    <n v="43"/>
    <n v="192199.76000000004"/>
    <n v="560"/>
    <n v="6.2120651118368654E-4"/>
    <n v="1.0141767420296574E-3"/>
  </r>
  <r>
    <s v="BEAUTY&amp;HEALTH&amp; PHARMA"/>
    <x v="2"/>
    <s v="Уход"/>
    <s v="Уход за кожей лица"/>
    <s v="Спреи"/>
    <s v="Спреи"/>
    <m/>
    <x v="0"/>
    <x v="1"/>
    <s v="да"/>
    <n v="0"/>
    <n v="2"/>
    <n v="2"/>
    <n v="3"/>
    <n v="2"/>
    <n v="5"/>
    <n v="3"/>
    <n v="0"/>
    <n v="3"/>
    <n v="119"/>
    <n v="644011.75000000035"/>
    <n v="1170"/>
    <n v="2.0815025595182879E-3"/>
    <n v="2.1189049788833915E-3"/>
  </r>
  <r>
    <s v="FOODZOO"/>
    <x v="2"/>
    <s v="Продукция для животных"/>
    <s v="Аксессуары и игрушки"/>
    <s v="Товары для кормления собак"/>
    <s v="Миски для собак"/>
    <m/>
    <x v="0"/>
    <x v="0"/>
    <s v="да"/>
    <n v="0"/>
    <n v="1"/>
    <n v="1"/>
    <n v="3"/>
    <n v="1"/>
    <n v="4"/>
    <n v="3"/>
    <n v="0"/>
    <n v="3"/>
    <n v="31"/>
    <n v="44158.490000000005"/>
    <n v="229"/>
    <n v="1.4272411948922155E-4"/>
    <n v="4.1472584629427062E-4"/>
  </r>
  <r>
    <s v="BEAUTY&amp;HEALTH&amp; PHARMA"/>
    <x v="2"/>
    <s v="Уход"/>
    <s v="Уход за кожей лица"/>
    <s v="Очищение"/>
    <s v="Скраб, пилинг"/>
    <m/>
    <x v="0"/>
    <x v="1"/>
    <s v="нет"/>
    <n v="0"/>
    <n v="1"/>
    <n v="1"/>
    <n v="3"/>
    <n v="1"/>
    <n v="4"/>
    <n v="3"/>
    <n v="0"/>
    <n v="3"/>
    <n v="54"/>
    <n v="270387.74999999988"/>
    <n v="892"/>
    <n v="8.7391696453890846E-4"/>
    <n v="1.6154386676615257E-3"/>
  </r>
  <r>
    <s v="FOODZOO"/>
    <x v="2"/>
    <s v="Продукция для животных"/>
    <s v="Аксессуары и игрушки"/>
    <s v="Амуниция для собак"/>
    <s v="Ошейники для собак"/>
    <m/>
    <x v="0"/>
    <x v="0"/>
    <s v="да"/>
    <n v="0"/>
    <n v="1"/>
    <n v="1"/>
    <n v="3"/>
    <n v="1"/>
    <n v="4"/>
    <n v="3"/>
    <n v="0"/>
    <n v="3"/>
    <n v="125"/>
    <n v="68230.41"/>
    <n v="658"/>
    <n v="2.2052667991225643E-4"/>
    <n v="1.1916576718848475E-3"/>
  </r>
  <r>
    <s v="TOYS"/>
    <x v="3"/>
    <s v="Аксессуары"/>
    <s v="Аксессуары для путешествий"/>
    <s v="Аксессуары для путешествий и поездок"/>
    <s v="Маска для сна"/>
    <m/>
    <x v="0"/>
    <x v="1"/>
    <s v="да"/>
    <n v="0"/>
    <n v="0"/>
    <n v="0"/>
    <n v="3"/>
    <n v="0"/>
    <n v="3"/>
    <n v="3"/>
    <n v="0"/>
    <n v="3"/>
    <n v="8"/>
    <n v="9051.08"/>
    <n v="26"/>
    <n v="2.9253885796966863E-5"/>
    <n v="4.7086777308519806E-5"/>
  </r>
  <r>
    <s v="BEAUTY&amp;HEALTH&amp; PHARMA"/>
    <x v="0"/>
    <s v="Парфюмерия и декоративная косметика"/>
    <s v="Декоративная косметика"/>
    <s v="Аксессуары"/>
    <s v="Футляры"/>
    <m/>
    <x v="0"/>
    <x v="0"/>
    <s v="да"/>
    <n v="0"/>
    <n v="2"/>
    <n v="2"/>
    <n v="3"/>
    <n v="2"/>
    <n v="5"/>
    <n v="3"/>
    <n v="0"/>
    <n v="3"/>
    <n v="22"/>
    <n v="101566.69"/>
    <n v="167"/>
    <n v="3.2827246583125292E-4"/>
    <n v="3.0244199271241572E-4"/>
  </r>
  <r>
    <s v="BEAUTY&amp;HEALTH&amp; PHARMA"/>
    <x v="0"/>
    <s v="Парфюмерия и декоративная косметика"/>
    <s v="Декоративная косметика"/>
    <s v="Аксессуары"/>
    <s v="Наборы аксессуаров"/>
    <m/>
    <x v="0"/>
    <x v="0"/>
    <s v="да"/>
    <n v="0"/>
    <n v="2"/>
    <n v="2"/>
    <n v="3"/>
    <n v="2"/>
    <n v="5"/>
    <n v="3"/>
    <n v="0"/>
    <n v="3"/>
    <n v="1"/>
    <n v="3093.5"/>
    <n v="4"/>
    <n v="9.9984637980127227E-6"/>
    <n v="7.2441195859261247E-6"/>
  </r>
  <r>
    <s v="BEAUTY&amp;HEALTH&amp; PHARMA"/>
    <x v="0"/>
    <s v="Парфюмерия и декоративная косметика"/>
    <s v="Декоративная косметика"/>
    <s v="Аксессуары"/>
    <s v="Аксессуары для очистки кистей"/>
    <m/>
    <x v="0"/>
    <x v="0"/>
    <s v="да"/>
    <n v="0"/>
    <n v="1"/>
    <n v="1"/>
    <n v="3"/>
    <n v="1"/>
    <n v="4"/>
    <n v="3"/>
    <n v="0"/>
    <n v="3"/>
    <n v="5"/>
    <n v="491"/>
    <n v="5"/>
    <n v="1.5869551397524638E-6"/>
    <n v="9.0551494824076554E-6"/>
  </r>
  <r>
    <s v="DIY"/>
    <x v="6"/>
    <s v="Спорт и активный отдых"/>
    <s v="Тренажеры и фитнес"/>
    <s v="Тренажеры и фитнес"/>
    <s v="Оборудование для йоги"/>
    <m/>
    <x v="0"/>
    <x v="0"/>
    <s v="да"/>
    <n v="0"/>
    <n v="0"/>
    <n v="0"/>
    <n v="3"/>
    <n v="0"/>
    <n v="3"/>
    <n v="3"/>
    <n v="0"/>
    <n v="3"/>
    <n v="22"/>
    <n v="128495.21000000002"/>
    <n v="187"/>
    <n v="4.1530780843802894E-4"/>
    <n v="3.3866259064204633E-4"/>
  </r>
  <r>
    <s v="DIY"/>
    <x v="5"/>
    <s v="Смартфоны и гаджеты"/>
    <s v="Мобильная аксессуарика"/>
    <s v="Зарядные устройства для гаджетов"/>
    <s v="Зарядные устройства в автомобиль"/>
    <m/>
    <x v="0"/>
    <x v="0"/>
    <s v="да"/>
    <n v="0"/>
    <n v="1"/>
    <n v="1"/>
    <n v="3"/>
    <n v="1"/>
    <n v="4"/>
    <n v="3"/>
    <n v="0"/>
    <n v="3"/>
    <n v="0"/>
    <n v="0"/>
    <n v="0"/>
    <n v="0"/>
    <n v="0"/>
  </r>
  <r>
    <s v="TOYS"/>
    <x v="1"/>
    <s v="Детские товары"/>
    <s v="Игры и игрушки"/>
    <s v="Спорт и активный отдых детей"/>
    <s v="Зимние виды спорта для детей"/>
    <m/>
    <x v="0"/>
    <x v="2"/>
    <s v="да"/>
    <n v="0"/>
    <n v="0"/>
    <n v="0"/>
    <n v="0"/>
    <n v="0"/>
    <n v="0"/>
    <n v="0"/>
    <n v="0"/>
    <n v="0"/>
    <n v="5"/>
    <n v="876.43000000000006"/>
    <n v="6"/>
    <n v="2.8326987640188433E-6"/>
    <n v="1.0866179378889186E-5"/>
  </r>
  <r>
    <s v="HOUSEHOLD"/>
    <x v="4"/>
    <s v="Товары для дома"/>
    <s v="Текстиль для ванной"/>
    <s v="Полотенце"/>
    <s v="Полотенце 30х50"/>
    <m/>
    <x v="1"/>
    <x v="0"/>
    <s v="да"/>
    <n v="1"/>
    <n v="0"/>
    <n v="1"/>
    <n v="0"/>
    <n v="0"/>
    <n v="0"/>
    <n v="-1"/>
    <n v="0"/>
    <n v="-1"/>
    <n v="103"/>
    <n v="453765.90999999992"/>
    <n v="906"/>
    <n v="1.4666112894479711E-3"/>
    <n v="1.6407930862122671E-3"/>
  </r>
  <r>
    <s v="HOUSEHOLD"/>
    <x v="4"/>
    <s v="Товары для дома"/>
    <s v="Сервировка стола"/>
    <s v="Столовая посуда"/>
    <s v="Салатники"/>
    <m/>
    <x v="1"/>
    <x v="0"/>
    <s v="да"/>
    <n v="0"/>
    <n v="0"/>
    <n v="0"/>
    <n v="5"/>
    <n v="0"/>
    <n v="5"/>
    <n v="5"/>
    <n v="0"/>
    <n v="5"/>
    <n v="66"/>
    <n v="448646.96"/>
    <n v="1176"/>
    <n v="1.4500663932918902E-3"/>
    <n v="2.1297711582622808E-3"/>
  </r>
  <r>
    <s v="BEAUTY&amp;HEALTH&amp; PHARMA"/>
    <x v="2"/>
    <s v="Гигиена"/>
    <s v="Бритье"/>
    <s v="Бритвы и лезвия"/>
    <s v="Системные кассеты"/>
    <m/>
    <x v="1"/>
    <x v="1"/>
    <s v="да"/>
    <n v="1"/>
    <n v="0"/>
    <n v="1"/>
    <n v="1"/>
    <n v="0"/>
    <n v="1"/>
    <n v="0"/>
    <n v="0"/>
    <n v="0"/>
    <n v="30"/>
    <n v="444603.21000000008"/>
    <n v="616"/>
    <n v="1.4369966380039596E-3"/>
    <n v="1.1155944162326232E-3"/>
  </r>
  <r>
    <s v="TOYS"/>
    <x v="1"/>
    <s v="Детские товары"/>
    <s v="Игры и игрушки"/>
    <s v="Спорт и активный отдых детей"/>
    <s v="Летние виды спорта для детей"/>
    <m/>
    <x v="0"/>
    <x v="2"/>
    <s v="да"/>
    <n v="0"/>
    <n v="0"/>
    <n v="0"/>
    <n v="0"/>
    <n v="0"/>
    <n v="0"/>
    <n v="0"/>
    <n v="0"/>
    <n v="0"/>
    <n v="2"/>
    <n v="14812"/>
    <n v="11"/>
    <n v="4.7873685397176162E-5"/>
    <n v="1.9921328861296842E-5"/>
  </r>
  <r>
    <s v="HOUSEHOLD"/>
    <x v="4"/>
    <s v="Товары для дома"/>
    <s v="Текстиль для спальни"/>
    <s v="Подушки и одеяла"/>
    <s v="Подушка анатомическая"/>
    <m/>
    <x v="1"/>
    <x v="0"/>
    <s v="да"/>
    <n v="36"/>
    <n v="0"/>
    <n v="36"/>
    <n v="5"/>
    <n v="0"/>
    <n v="5"/>
    <n v="-31"/>
    <n v="0"/>
    <n v="-31"/>
    <n v="86"/>
    <n v="440033.62"/>
    <n v="362"/>
    <n v="1.4222273216351986E-3"/>
    <n v="6.5559282252631429E-4"/>
  </r>
  <r>
    <s v="DIY"/>
    <x v="4"/>
    <s v="Строительство и ремонт"/>
    <s v="Инструменты"/>
    <s v="Ручной инструмент"/>
    <s v="Ручной инструмент"/>
    <m/>
    <x v="1"/>
    <x v="1"/>
    <s v="да"/>
    <n v="2"/>
    <n v="0"/>
    <n v="2"/>
    <n v="10"/>
    <n v="0"/>
    <n v="10"/>
    <n v="8"/>
    <n v="0"/>
    <n v="8"/>
    <n v="259"/>
    <n v="412065.08999999997"/>
    <n v="870"/>
    <n v="1.331830575332101E-3"/>
    <n v="1.5755960099389321E-3"/>
  </r>
  <r>
    <s v="HOUSEHOLD"/>
    <x v="4"/>
    <s v="Товары для дома"/>
    <s v="Хранение посуды и продуктов"/>
    <s v="Хранение продуктов"/>
    <s v="Термокружки, термобокалы"/>
    <m/>
    <x v="1"/>
    <x v="1"/>
    <s v="да"/>
    <n v="0"/>
    <n v="0"/>
    <n v="0"/>
    <n v="3"/>
    <n v="0"/>
    <n v="3"/>
    <n v="3"/>
    <n v="0"/>
    <n v="3"/>
    <n v="82"/>
    <n v="399198.31999999995"/>
    <n v="367"/>
    <n v="1.2902440442047836E-3"/>
    <n v="6.6464797200872197E-4"/>
  </r>
  <r>
    <s v="DIY"/>
    <x v="4"/>
    <s v="Строительство и ремонт"/>
    <s v="Инструменты"/>
    <s v="Электроинструмент"/>
    <s v="Электроинструмент"/>
    <m/>
    <x v="1"/>
    <x v="1"/>
    <s v="да"/>
    <n v="13"/>
    <n v="0"/>
    <n v="13"/>
    <n v="15"/>
    <n v="0"/>
    <n v="15"/>
    <n v="2"/>
    <n v="0"/>
    <n v="2"/>
    <n v="64"/>
    <n v="375956.71"/>
    <n v="155"/>
    <n v="1.2151251186536182E-3"/>
    <n v="2.8070963395463735E-4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всех пород"/>
    <m/>
    <x v="1"/>
    <x v="0"/>
    <s v="да"/>
    <n v="0"/>
    <n v="0"/>
    <n v="0"/>
    <n v="0"/>
    <n v="0"/>
    <n v="0"/>
    <n v="0"/>
    <n v="0"/>
    <n v="0"/>
    <n v="10"/>
    <n v="354804.76"/>
    <n v="288"/>
    <n v="1.1467601578220761E-3"/>
    <n v="5.2157661018668096E-4"/>
  </r>
  <r>
    <s v="FOODZOO"/>
    <x v="2"/>
    <s v="Гигиена"/>
    <s v="Уход за зубами и полостью рта"/>
    <s v="Ополаскиватели и бальзамы"/>
    <s v="Ополаскиватели и бальзамы"/>
    <m/>
    <x v="1"/>
    <x v="0"/>
    <s v="да"/>
    <n v="3"/>
    <n v="0"/>
    <n v="3"/>
    <n v="3"/>
    <n v="0"/>
    <n v="3"/>
    <n v="0"/>
    <n v="0"/>
    <n v="0"/>
    <n v="57"/>
    <n v="347908.14"/>
    <n v="858"/>
    <n v="1.1244696760381258E-3"/>
    <n v="1.5538636511811536E-3"/>
  </r>
  <r>
    <s v="FOODZOO"/>
    <x v="2"/>
    <s v="Бытовая химия"/>
    <s v="Средства для стирки"/>
    <s v="Отбеливатели"/>
    <s v="Жидкие отбеливатели"/>
    <m/>
    <x v="1"/>
    <x v="0"/>
    <s v="да"/>
    <n v="11"/>
    <n v="0"/>
    <n v="11"/>
    <n v="11"/>
    <n v="0"/>
    <n v="11"/>
    <n v="0"/>
    <n v="0"/>
    <n v="0"/>
    <n v="16"/>
    <n v="341041.15000000008"/>
    <n v="767"/>
    <n v="1.1022749610174972E-3"/>
    <n v="1.3890599306013343E-3"/>
  </r>
  <r>
    <s v="TOYS"/>
    <x v="1"/>
    <s v="Детские товары"/>
    <s v="Детская одежда"/>
    <s v="Детское нижнее бельё"/>
    <s v="Носки детские"/>
    <m/>
    <x v="0"/>
    <x v="1"/>
    <s v="да"/>
    <n v="0"/>
    <n v="0"/>
    <n v="0"/>
    <n v="3"/>
    <n v="0"/>
    <n v="3"/>
    <n v="3"/>
    <n v="0"/>
    <n v="3"/>
    <n v="61"/>
    <n v="46642.049999999988"/>
    <n v="382"/>
    <n v="1.5075120361729408E-4"/>
    <n v="6.9181342045594491E-4"/>
  </r>
  <r>
    <s v="HOUSEHOLD"/>
    <x v="4"/>
    <s v="Товары для дома"/>
    <s v="Сервировка стола"/>
    <s v="Столовая посуда"/>
    <s v="Сервировочные блюда, селедочницы, менажницы"/>
    <m/>
    <x v="1"/>
    <x v="0"/>
    <s v="да"/>
    <n v="0"/>
    <n v="0"/>
    <n v="0"/>
    <n v="2"/>
    <n v="0"/>
    <n v="2"/>
    <n v="2"/>
    <n v="0"/>
    <n v="2"/>
    <n v="44"/>
    <n v="333973.8"/>
    <n v="338"/>
    <n v="1.0794326648730374E-3"/>
    <n v="6.1212810501075755E-4"/>
  </r>
  <r>
    <s v="FOODZOO"/>
    <x v="2"/>
    <s v="Снэки"/>
    <s v="Семечки"/>
    <s v="Семечки подсолнечника"/>
    <s v="Семечки подсолнечника неочищенные"/>
    <m/>
    <x v="1"/>
    <x v="0"/>
    <s v="да"/>
    <n v="2"/>
    <n v="0"/>
    <n v="2"/>
    <n v="2"/>
    <n v="0"/>
    <n v="2"/>
    <n v="0"/>
    <n v="0"/>
    <n v="0"/>
    <n v="3"/>
    <n v="330811.59999999998"/>
    <n v="571"/>
    <n v="1.0692121566389739E-3"/>
    <n v="1.0340980708909544E-3"/>
  </r>
  <r>
    <s v="BEAUTY&amp;HEALTH&amp; PHARMA"/>
    <x v="0"/>
    <s v="Парфюмерия и декоративная косметика"/>
    <s v="Декоративная косметика"/>
    <s v="Для губ"/>
    <s v="Бальзам для губ"/>
    <m/>
    <x v="0"/>
    <x v="1"/>
    <s v="да"/>
    <n v="2"/>
    <n v="1"/>
    <n v="3"/>
    <n v="6"/>
    <n v="0"/>
    <n v="6"/>
    <n v="4"/>
    <n v="-1"/>
    <n v="3"/>
    <n v="26"/>
    <n v="21108.219999999998"/>
    <n v="50"/>
    <n v="6.8223621629380336E-5"/>
    <n v="9.0551494824076551E-5"/>
  </r>
  <r>
    <s v="TOYS"/>
    <x v="3"/>
    <s v="Аксессуары"/>
    <s v="Аксессуары для волос"/>
    <s v="Резинки"/>
    <s v="Резинка"/>
    <m/>
    <x v="0"/>
    <x v="1"/>
    <s v="да"/>
    <n v="1"/>
    <n v="1"/>
    <n v="2"/>
    <n v="5"/>
    <n v="0"/>
    <n v="5"/>
    <n v="4"/>
    <n v="-1"/>
    <n v="3"/>
    <n v="9"/>
    <n v="2056.8199999999997"/>
    <n v="55"/>
    <n v="6.6478229542681513E-6"/>
    <n v="9.9606644306484218E-5"/>
  </r>
  <r>
    <s v="TOYS"/>
    <x v="3"/>
    <s v="Обувь"/>
    <s v="Уход и аксессуары для обуви"/>
    <s v="Аксессуары для ухода за обувью"/>
    <s v="Щетка для обуви"/>
    <m/>
    <x v="0"/>
    <x v="1"/>
    <s v="нет"/>
    <n v="0"/>
    <n v="1"/>
    <n v="1"/>
    <n v="4"/>
    <n v="0"/>
    <n v="4"/>
    <n v="4"/>
    <n v="-1"/>
    <n v="3"/>
    <n v="2"/>
    <n v="1636"/>
    <n v="6"/>
    <n v="5.2876957406008771E-6"/>
    <n v="1.0866179378889186E-5"/>
  </r>
  <r>
    <s v="BEAUTY&amp;HEALTH&amp; PHARMA"/>
    <x v="2"/>
    <s v="Уход"/>
    <s v="Средства по уходу за волосами"/>
    <s v="Бальзамы и кондиционеры"/>
    <s v="Бальзамы и кондиционеры-лечение"/>
    <m/>
    <x v="0"/>
    <x v="0"/>
    <s v="да"/>
    <n v="0"/>
    <n v="1"/>
    <n v="1"/>
    <n v="4"/>
    <n v="0"/>
    <n v="4"/>
    <n v="4"/>
    <n v="-1"/>
    <n v="3"/>
    <n v="14"/>
    <n v="24179.439999999999"/>
    <n v="192"/>
    <n v="7.8150074509849925E-5"/>
    <n v="3.4771774012445396E-4"/>
  </r>
  <r>
    <s v="BEAUTY&amp;HEALTH&amp; PHARMA"/>
    <x v="0"/>
    <s v="Парфюмерия и декоративная косметика"/>
    <s v="Декоративная косметика"/>
    <s v="Для губ"/>
    <s v="Тинт для губ"/>
    <m/>
    <x v="0"/>
    <x v="0"/>
    <s v="да"/>
    <n v="0"/>
    <n v="1"/>
    <n v="1"/>
    <n v="4"/>
    <n v="0"/>
    <n v="4"/>
    <n v="4"/>
    <n v="-1"/>
    <n v="3"/>
    <n v="69"/>
    <n v="245711.88999999996"/>
    <n v="957"/>
    <n v="7.9416241697309966E-4"/>
    <n v="1.7331556109328253E-3"/>
  </r>
  <r>
    <s v="TOYS"/>
    <x v="1"/>
    <s v="Детские товары"/>
    <s v="Аксессуары для детей"/>
    <s v="Прочие детские аксессуары"/>
    <s v="Прочие детские аксессуары"/>
    <m/>
    <x v="0"/>
    <x v="1"/>
    <s v="да"/>
    <n v="0"/>
    <n v="2"/>
    <n v="2"/>
    <n v="5"/>
    <n v="0"/>
    <n v="5"/>
    <n v="5"/>
    <n v="-2"/>
    <n v="3"/>
    <n v="57"/>
    <n v="112439.61999999998"/>
    <n v="494"/>
    <n v="3.6341473089778799E-4"/>
    <n v="8.9464876886187635E-4"/>
  </r>
  <r>
    <s v="TOYS"/>
    <x v="3"/>
    <s v="Одежда"/>
    <s v="Чулки, носки"/>
    <s v="Чулочно-носочная продукция"/>
    <s v="Носки унисекс"/>
    <m/>
    <x v="0"/>
    <x v="1"/>
    <s v="да"/>
    <n v="0"/>
    <n v="6"/>
    <n v="6"/>
    <n v="6"/>
    <n v="3"/>
    <n v="9"/>
    <n v="6"/>
    <n v="-3"/>
    <n v="3"/>
    <n v="14"/>
    <n v="70565.02"/>
    <n v="162"/>
    <n v="2.2807234455343261E-4"/>
    <n v="2.9338684323000803E-4"/>
  </r>
  <r>
    <s v="BEAUTY&amp;HEALTH&amp; PHARMA"/>
    <x v="0"/>
    <s v="Парфюмерия и декоративная косметика"/>
    <s v="Декоративная косметика"/>
    <s v="Для глаз"/>
    <s v="Тушь для ресниц"/>
    <m/>
    <x v="0"/>
    <x v="1"/>
    <s v="да"/>
    <n v="8"/>
    <n v="1"/>
    <n v="9"/>
    <n v="6"/>
    <n v="5"/>
    <n v="11"/>
    <n v="-2"/>
    <n v="4"/>
    <n v="2"/>
    <n v="138"/>
    <n v="1223775.8699999996"/>
    <n v="2978"/>
    <n v="3.9553511340153615E-3"/>
    <n v="5.3932470317219995E-3"/>
  </r>
  <r>
    <s v="HOUSEHOLD"/>
    <x v="4"/>
    <s v="Товары для дома"/>
    <s v="Товары для хранения"/>
    <s v="Товары для хранения"/>
    <s v="Пакеты для хранения продуктов"/>
    <m/>
    <x v="0"/>
    <x v="0"/>
    <s v="да"/>
    <n v="0"/>
    <n v="2"/>
    <n v="2"/>
    <n v="0"/>
    <n v="4"/>
    <n v="4"/>
    <n v="0"/>
    <n v="2"/>
    <n v="2"/>
    <n v="30"/>
    <n v="157432.96999999997"/>
    <n v="1315"/>
    <n v="5.0883719125864645E-4"/>
    <n v="2.3815043138732134E-3"/>
  </r>
  <r>
    <s v="BEAUTY&amp;HEALTH&amp; PHARMA"/>
    <x v="0"/>
    <s v="Парфюмерия и декоративная косметика"/>
    <s v="Декоративная косметика"/>
    <s v="Для лица"/>
    <s v="Пудры"/>
    <m/>
    <x v="0"/>
    <x v="1"/>
    <s v="да"/>
    <n v="2"/>
    <n v="1"/>
    <n v="3"/>
    <n v="3"/>
    <n v="2"/>
    <n v="5"/>
    <n v="1"/>
    <n v="1"/>
    <n v="2"/>
    <n v="105"/>
    <n v="305244.11"/>
    <n v="700"/>
    <n v="9.8657578257365861E-4"/>
    <n v="1.2677209275370718E-3"/>
  </r>
  <r>
    <s v="FOODZOO"/>
    <x v="2"/>
    <s v="Продукция для животных"/>
    <s v="Аксессуары и игрушки"/>
    <s v="Коррекция поведения и поглотители запаха"/>
    <s v="Когтеточки"/>
    <m/>
    <x v="0"/>
    <x v="0"/>
    <s v="да"/>
    <n v="0"/>
    <n v="0"/>
    <n v="0"/>
    <n v="1"/>
    <n v="1"/>
    <n v="2"/>
    <n v="1"/>
    <n v="1"/>
    <n v="2"/>
    <n v="3"/>
    <n v="11120.65"/>
    <n v="24"/>
    <n v="3.5942917871462805E-5"/>
    <n v="4.3464717515556745E-5"/>
  </r>
  <r>
    <s v="FOODZOO"/>
    <x v="2"/>
    <s v="Продукция для животных"/>
    <s v="Аксессуары и игрушки"/>
    <s v="Лежаки и домики для кошек"/>
    <s v="Домики для кошек"/>
    <m/>
    <x v="0"/>
    <x v="0"/>
    <s v="да"/>
    <n v="0"/>
    <n v="0"/>
    <n v="0"/>
    <n v="1"/>
    <n v="1"/>
    <n v="2"/>
    <n v="1"/>
    <n v="1"/>
    <n v="2"/>
    <n v="0"/>
    <n v="0"/>
    <n v="0"/>
    <n v="0"/>
    <n v="0"/>
  </r>
  <r>
    <s v="FOODZOO"/>
    <x v="2"/>
    <s v="Продукция для животных"/>
    <s v="Наполнители и уход"/>
    <s v="Уход за шерстью для кошек и собак"/>
    <s v="Шампунь для кошек и собак"/>
    <m/>
    <x v="0"/>
    <x v="3"/>
    <s v="да"/>
    <n v="1"/>
    <n v="0"/>
    <n v="1"/>
    <n v="2"/>
    <n v="1"/>
    <n v="3"/>
    <n v="1"/>
    <n v="1"/>
    <n v="2"/>
    <n v="17"/>
    <n v="77341.079999999987"/>
    <n v="202"/>
    <n v="2.4997316582486042E-4"/>
    <n v="3.6582803908926926E-4"/>
  </r>
  <r>
    <s v="BEAUTY&amp;HEALTH&amp; PHARMA"/>
    <x v="2"/>
    <s v="Уход"/>
    <s v="Средства по уходу за волосами"/>
    <s v="Средства для укладки и стайлинга волос"/>
    <s v="Гель, воск, прочее"/>
    <m/>
    <x v="0"/>
    <x v="0"/>
    <s v="да"/>
    <n v="1"/>
    <n v="1"/>
    <n v="2"/>
    <n v="3"/>
    <n v="1"/>
    <n v="4"/>
    <n v="2"/>
    <n v="0"/>
    <n v="2"/>
    <n v="81"/>
    <n v="405475.77"/>
    <n v="620"/>
    <n v="1.3105333141478369E-3"/>
    <n v="1.1228385358185494E-3"/>
  </r>
  <r>
    <s v="FOODZOO"/>
    <x v="2"/>
    <s v="Детская гигиена и уход"/>
    <s v="Уход за детьми"/>
    <s v="Детский уход за полостью рта"/>
    <s v="Детские зубные пасты"/>
    <m/>
    <x v="1"/>
    <x v="0"/>
    <s v="да"/>
    <n v="0"/>
    <n v="0"/>
    <n v="0"/>
    <n v="0"/>
    <n v="0"/>
    <n v="0"/>
    <n v="0"/>
    <n v="0"/>
    <n v="0"/>
    <n v="47"/>
    <n v="324059.90999999997"/>
    <n v="570"/>
    <n v="1.0473901013487185E-3"/>
    <n v="1.0322870409944728E-3"/>
  </r>
  <r>
    <s v="DIY"/>
    <x v="5"/>
    <s v="Бытовая техника и Электроника"/>
    <s v="Малая бытовая техника"/>
    <s v="Техника для красоты и здоровья"/>
    <s v="Мультистайлер"/>
    <m/>
    <x v="0"/>
    <x v="1"/>
    <s v="да"/>
    <n v="2"/>
    <n v="0"/>
    <n v="2"/>
    <n v="4"/>
    <n v="0"/>
    <n v="4"/>
    <n v="2"/>
    <n v="0"/>
    <n v="2"/>
    <n v="5"/>
    <n v="121077.95"/>
    <n v="63"/>
    <n v="3.9133457243012589E-4"/>
    <n v="1.1409488347833646E-4"/>
  </r>
  <r>
    <s v="DIY"/>
    <x v="5"/>
    <s v="Бытовая техника и Электроника"/>
    <s v="Малая бытовая техника"/>
    <s v="Техника для кухни"/>
    <s v="Тостеры"/>
    <m/>
    <x v="0"/>
    <x v="0"/>
    <s v="да"/>
    <n v="1"/>
    <n v="0"/>
    <n v="1"/>
    <n v="3"/>
    <n v="0"/>
    <n v="3"/>
    <n v="2"/>
    <n v="0"/>
    <n v="2"/>
    <n v="14"/>
    <n v="54896.7"/>
    <n v="29"/>
    <n v="1.7743095767912235E-4"/>
    <n v="5.2519866997964405E-5"/>
  </r>
  <r>
    <s v="DIY"/>
    <x v="4"/>
    <s v="Автомобильные товары и запчасти"/>
    <s v="Автомобильные товары"/>
    <s v="Аксессуары для автомобилей"/>
    <s v="Аксессуары в салон автомобиля"/>
    <m/>
    <x v="0"/>
    <x v="0"/>
    <s v="да"/>
    <n v="1"/>
    <n v="0"/>
    <n v="1"/>
    <n v="3"/>
    <n v="0"/>
    <n v="3"/>
    <n v="2"/>
    <n v="0"/>
    <n v="2"/>
    <n v="5"/>
    <n v="13751.21"/>
    <n v="42"/>
    <n v="4.4445118915102807E-5"/>
    <n v="7.6063255652224305E-5"/>
  </r>
  <r>
    <s v="DIY"/>
    <x v="5"/>
    <s v="Компьютеры и аксессуары"/>
    <s v="IT/Office"/>
    <s v="Оргтехника"/>
    <s v="Термопринтер"/>
    <m/>
    <x v="0"/>
    <x v="0"/>
    <s v="нет"/>
    <n v="1"/>
    <n v="0"/>
    <n v="1"/>
    <n v="3"/>
    <n v="0"/>
    <n v="3"/>
    <n v="2"/>
    <n v="0"/>
    <n v="2"/>
    <n v="0"/>
    <n v="0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Наушники геймеров"/>
    <m/>
    <x v="0"/>
    <x v="1"/>
    <s v="да"/>
    <n v="1"/>
    <n v="0"/>
    <n v="1"/>
    <n v="3"/>
    <n v="0"/>
    <n v="3"/>
    <n v="2"/>
    <n v="0"/>
    <n v="2"/>
    <n v="5"/>
    <n v="11283.51"/>
    <n v="13"/>
    <n v="3.6469295700505747E-5"/>
    <n v="2.3543388654259903E-5"/>
  </r>
  <r>
    <s v="DIY"/>
    <x v="6"/>
    <s v="Спорт и активный отдых"/>
    <s v="Туризм и спелеология"/>
    <s v="Туризм"/>
    <s v="Ножи и мультитулы"/>
    <m/>
    <x v="0"/>
    <x v="1"/>
    <s v="да"/>
    <n v="1"/>
    <n v="0"/>
    <n v="1"/>
    <n v="3"/>
    <n v="0"/>
    <n v="3"/>
    <n v="2"/>
    <n v="0"/>
    <n v="2"/>
    <n v="2"/>
    <n v="7364.69"/>
    <n v="3"/>
    <n v="2.3803325149050044E-5"/>
    <n v="5.4330896894445931E-6"/>
  </r>
  <r>
    <s v="DIY"/>
    <x v="4"/>
    <s v="Ремонт и обустройство дома"/>
    <s v="Фильтры и системы очистки воды"/>
    <s v="Очистка воды"/>
    <s v="Картридж к системе очистки воды"/>
    <m/>
    <x v="0"/>
    <x v="0"/>
    <s v="да"/>
    <n v="8"/>
    <n v="0"/>
    <n v="8"/>
    <n v="10"/>
    <n v="0"/>
    <n v="10"/>
    <n v="2"/>
    <n v="0"/>
    <n v="2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Акриловые краски"/>
    <m/>
    <x v="0"/>
    <x v="0"/>
    <s v="да"/>
    <n v="4"/>
    <n v="0"/>
    <n v="4"/>
    <n v="6"/>
    <n v="0"/>
    <n v="6"/>
    <n v="2"/>
    <n v="0"/>
    <n v="2"/>
    <n v="21"/>
    <n v="21649.25"/>
    <n v="36"/>
    <n v="6.9972278124818789E-5"/>
    <n v="6.519707627333512E-5"/>
  </r>
  <r>
    <s v="HOUSEHOLD"/>
    <x v="4"/>
    <s v="Товары для дома"/>
    <s v="Приготовление пищи"/>
    <s v="Кастрюли, сковороды, пароварки, горшки"/>
    <s v="Набор разной посуды для приготовления"/>
    <m/>
    <x v="1"/>
    <x v="1"/>
    <s v="да"/>
    <n v="6"/>
    <n v="0"/>
    <n v="6"/>
    <n v="5"/>
    <n v="0"/>
    <n v="5"/>
    <n v="-1"/>
    <n v="0"/>
    <n v="-1"/>
    <n v="7"/>
    <n v="305481.73"/>
    <n v="66"/>
    <n v="9.8734379129119024E-4"/>
    <n v="1.1952797316778106E-4"/>
  </r>
  <r>
    <s v="HOUSEHOLD"/>
    <x v="4"/>
    <s v="Товары для дома"/>
    <s v="Приготовление пищи"/>
    <s v="Товары для выпечки и приготовления"/>
    <s v="Рукава для запекания"/>
    <m/>
    <x v="1"/>
    <x v="0"/>
    <s v="да"/>
    <n v="0"/>
    <n v="0"/>
    <n v="0"/>
    <n v="2"/>
    <n v="0"/>
    <n v="2"/>
    <n v="2"/>
    <n v="0"/>
    <n v="2"/>
    <n v="61"/>
    <n v="300536.79999999987"/>
    <n v="1703"/>
    <n v="9.7136134306468041E-4"/>
    <n v="3.0841839137080475E-3"/>
  </r>
  <r>
    <s v="HOUSEHOLD"/>
    <x v="4"/>
    <s v="Праздничные и сезонные товары"/>
    <s v="Семена, удобрения и уход за растениями"/>
    <s v="Удобрения для сада"/>
    <s v="Уборка и удобрения"/>
    <m/>
    <x v="1"/>
    <x v="2"/>
    <s v="да"/>
    <n v="3"/>
    <n v="0"/>
    <n v="3"/>
    <n v="0"/>
    <n v="0"/>
    <n v="0"/>
    <n v="-3"/>
    <n v="0"/>
    <n v="-3"/>
    <n v="298"/>
    <n v="288785.05000000016"/>
    <n v="4165"/>
    <n v="9.3337865454413949E-4"/>
    <n v="7.542939518845577E-3"/>
  </r>
  <r>
    <s v="HOUSEHOLD"/>
    <x v="4"/>
    <s v="Товары для дома"/>
    <s v="Сервировка стола"/>
    <s v="Столовая посуда"/>
    <s v="Тарелки"/>
    <m/>
    <x v="1"/>
    <x v="0"/>
    <s v="да"/>
    <n v="0"/>
    <n v="0"/>
    <n v="0"/>
    <n v="5"/>
    <n v="0"/>
    <n v="5"/>
    <n v="5"/>
    <n v="0"/>
    <n v="5"/>
    <n v="104"/>
    <n v="279449.06"/>
    <n v="1585"/>
    <n v="9.0320391459469381E-4"/>
    <n v="2.8704823859232267E-3"/>
  </r>
  <r>
    <s v="DIY"/>
    <x v="4"/>
    <s v="Строительство и ремонт"/>
    <s v="Электротовары"/>
    <s v="Электрические щиты/Кабельканалы/Кабель"/>
    <s v="Электрические щиты/Кабельканалы/Кабель"/>
    <m/>
    <x v="1"/>
    <x v="0"/>
    <s v="да"/>
    <n v="3"/>
    <n v="0"/>
    <n v="3"/>
    <n v="0"/>
    <n v="0"/>
    <n v="0"/>
    <n v="-3"/>
    <n v="0"/>
    <n v="-3"/>
    <n v="85"/>
    <n v="272152.19999999995"/>
    <n v="350"/>
    <n v="8.796198219652554E-4"/>
    <n v="6.3386046376853592E-4"/>
  </r>
  <r>
    <s v="HOUSEHOLD"/>
    <x v="4"/>
    <s v="Товары для дома"/>
    <s v="Текстиль для спальни"/>
    <s v="Постельное белье"/>
    <s v="Простыня 2 сп"/>
    <m/>
    <x v="1"/>
    <x v="0"/>
    <s v="да"/>
    <n v="0"/>
    <n v="0"/>
    <n v="0"/>
    <n v="3"/>
    <n v="0"/>
    <n v="3"/>
    <n v="3"/>
    <n v="0"/>
    <n v="3"/>
    <n v="19"/>
    <n v="266158.67000000004"/>
    <n v="398"/>
    <n v="8.6024820640769853E-4"/>
    <n v="7.207898987996494E-4"/>
  </r>
  <r>
    <s v="HOUSEHOLD"/>
    <x v="4"/>
    <s v="Товары для дома"/>
    <s v="Хранение посуды и продуктов"/>
    <s v="Хранение продуктов"/>
    <s v="Пищевые контейнеры, ланч-боксы, наборы пищевых контейнеров"/>
    <m/>
    <x v="1"/>
    <x v="1"/>
    <s v="да"/>
    <n v="6"/>
    <n v="0"/>
    <n v="6"/>
    <n v="6"/>
    <n v="0"/>
    <n v="6"/>
    <n v="0"/>
    <n v="0"/>
    <n v="0"/>
    <n v="45"/>
    <n v="250755.12"/>
    <n v="551"/>
    <n v="8.1046257943634588E-4"/>
    <n v="9.9787747296132363E-4"/>
  </r>
  <r>
    <s v="HOUSEHOLD"/>
    <x v="4"/>
    <s v="Товары для дома"/>
    <s v="Сервировка стола"/>
    <s v="Питьевое стекло"/>
    <s v="Бокалы и фужеры"/>
    <m/>
    <x v="1"/>
    <x v="0"/>
    <s v="да"/>
    <n v="0"/>
    <n v="0"/>
    <n v="0"/>
    <n v="5"/>
    <n v="0"/>
    <n v="5"/>
    <n v="5"/>
    <n v="0"/>
    <n v="5"/>
    <n v="29"/>
    <n v="247641.30999999994"/>
    <n v="1656"/>
    <n v="8.00398471933876E-4"/>
    <n v="2.9990655085734156E-3"/>
  </r>
  <r>
    <s v="HOUSEHOLD"/>
    <x v="4"/>
    <s v="Товары для дома"/>
    <s v="Декор помещений"/>
    <s v="Декоративные объекты"/>
    <s v="Искусственные цветы"/>
    <m/>
    <x v="1"/>
    <x v="0"/>
    <s v="да"/>
    <n v="2"/>
    <n v="0"/>
    <n v="2"/>
    <n v="2"/>
    <n v="0"/>
    <n v="2"/>
    <n v="0"/>
    <n v="0"/>
    <n v="0"/>
    <n v="32"/>
    <n v="242911.06000000003"/>
    <n v="270"/>
    <n v="7.8510988832936697E-4"/>
    <n v="4.8897807205001336E-4"/>
  </r>
  <r>
    <s v="FOODZOO"/>
    <x v="2"/>
    <s v="Продукция для животных"/>
    <s v="Наполнители и уход"/>
    <s v="Груминг для кошек"/>
    <s v="Щетки и расчески для кошек"/>
    <m/>
    <x v="0"/>
    <x v="0"/>
    <s v="да"/>
    <n v="0"/>
    <n v="1"/>
    <n v="1"/>
    <n v="2"/>
    <n v="1"/>
    <n v="3"/>
    <n v="2"/>
    <n v="0"/>
    <n v="2"/>
    <n v="5"/>
    <n v="4635.13"/>
    <n v="42"/>
    <n v="1.4981147407170748E-5"/>
    <n v="7.6063255652224305E-5"/>
  </r>
  <r>
    <s v="FOODZOO"/>
    <x v="2"/>
    <s v="Продукция для животных"/>
    <s v="Аксессуары и игрушки"/>
    <s v="Игрушки для кошек"/>
    <s v="Мячики для кошек"/>
    <m/>
    <x v="0"/>
    <x v="0"/>
    <s v="да"/>
    <n v="0"/>
    <n v="1"/>
    <n v="1"/>
    <n v="2"/>
    <n v="1"/>
    <n v="3"/>
    <n v="2"/>
    <n v="0"/>
    <n v="2"/>
    <n v="64"/>
    <n v="145836.26999999999"/>
    <n v="537"/>
    <n v="4.7135563796095323E-4"/>
    <n v="9.7252305441058225E-4"/>
  </r>
  <r>
    <s v="HOBBIES&amp;SCHOOL"/>
    <x v="1"/>
    <s v="Книги, хобби, канцелярия"/>
    <s v="Канцелярия"/>
    <s v="Принадлежности для черчения"/>
    <s v="Линейки, треугольники"/>
    <m/>
    <x v="0"/>
    <x v="0"/>
    <s v="да"/>
    <n v="0"/>
    <n v="0"/>
    <n v="0"/>
    <n v="2"/>
    <n v="0"/>
    <n v="2"/>
    <n v="2"/>
    <n v="0"/>
    <n v="2"/>
    <n v="12"/>
    <n v="10459.449999999999"/>
    <n v="97"/>
    <n v="3.3805861377767629E-5"/>
    <n v="1.7566989995870851E-4"/>
  </r>
  <r>
    <s v="FOODZOO"/>
    <x v="2"/>
    <s v="Продукция для животных"/>
    <s v="Аксессуары и игрушки"/>
    <s v="Амуниция для собак"/>
    <s v="Рулетки"/>
    <m/>
    <x v="0"/>
    <x v="0"/>
    <s v="да"/>
    <n v="0"/>
    <n v="0"/>
    <n v="0"/>
    <n v="2"/>
    <n v="0"/>
    <n v="2"/>
    <n v="2"/>
    <n v="0"/>
    <n v="2"/>
    <n v="10"/>
    <n v="29786.649999999998"/>
    <n v="207"/>
    <n v="9.6273069884944448E-5"/>
    <n v="3.7488318857167695E-4"/>
  </r>
  <r>
    <s v="BEAUTY&amp;HEALTH&amp; PHARMA"/>
    <x v="0"/>
    <s v="Парфюмерия и декоративная косметика"/>
    <s v="Декоративная косметика"/>
    <s v="Для лица"/>
    <s v="Основа под макияж"/>
    <m/>
    <x v="0"/>
    <x v="0"/>
    <s v="да"/>
    <n v="0"/>
    <n v="1"/>
    <n v="1"/>
    <n v="2"/>
    <n v="1"/>
    <n v="3"/>
    <n v="2"/>
    <n v="0"/>
    <n v="2"/>
    <n v="44"/>
    <n v="263156.91000000003"/>
    <n v="500"/>
    <n v="8.5054625435005413E-4"/>
    <n v="9.0551494824076559E-4"/>
  </r>
  <r>
    <s v="BEAUTY&amp;HEALTH&amp; PHARMA"/>
    <x v="0"/>
    <s v="Уход"/>
    <s v="Наборы подарочные косметические"/>
    <s v="Наборы подарочные косметические детские"/>
    <s v="Наборы подарочные косметические детские"/>
    <m/>
    <x v="0"/>
    <x v="1"/>
    <s v="да"/>
    <n v="0"/>
    <n v="0"/>
    <n v="0"/>
    <n v="2"/>
    <n v="0"/>
    <n v="2"/>
    <n v="2"/>
    <n v="0"/>
    <n v="2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Подготовка к школе"/>
    <m/>
    <x v="0"/>
    <x v="0"/>
    <s v="да"/>
    <n v="0"/>
    <n v="0"/>
    <n v="0"/>
    <n v="2"/>
    <n v="0"/>
    <n v="2"/>
    <n v="2"/>
    <n v="0"/>
    <n v="2"/>
    <n v="0"/>
    <n v="0"/>
    <n v="0"/>
    <n v="0"/>
    <n v="0"/>
  </r>
  <r>
    <s v="BEAUTY&amp;HEALTH&amp; PHARMA"/>
    <x v="2"/>
    <s v="Уход"/>
    <s v="Уход за проблемной кожей"/>
    <s v="Очищение (лечебное)"/>
    <s v="Очищение (лечебное)"/>
    <m/>
    <x v="0"/>
    <x v="0"/>
    <s v="да"/>
    <n v="0"/>
    <n v="0"/>
    <n v="0"/>
    <n v="2"/>
    <n v="0"/>
    <n v="2"/>
    <n v="2"/>
    <n v="0"/>
    <n v="2"/>
    <n v="14"/>
    <n v="53507.149999999994"/>
    <n v="177"/>
    <n v="1.7293980999186565E-4"/>
    <n v="3.2055229167723102E-4"/>
  </r>
  <r>
    <s v="HOUSEHOLD"/>
    <x v="4"/>
    <s v="Товары для дома"/>
    <s v="Элементы интерьера"/>
    <s v="Элементы интерьера"/>
    <s v="Фоторамки"/>
    <m/>
    <x v="0"/>
    <x v="0"/>
    <s v="да"/>
    <n v="0"/>
    <n v="0"/>
    <n v="0"/>
    <n v="2"/>
    <n v="0"/>
    <n v="2"/>
    <n v="2"/>
    <n v="0"/>
    <n v="2"/>
    <n v="18"/>
    <n v="18605.71"/>
    <n v="32"/>
    <n v="6.0135289436341776E-5"/>
    <n v="5.7952956687408997E-5"/>
  </r>
  <r>
    <s v="HOUSEHOLD"/>
    <x v="4"/>
    <s v="Товары для дома"/>
    <s v="Текстиль для спальни"/>
    <s v="Подушки и одеяла"/>
    <s v="Одеяло 1,5 сп"/>
    <m/>
    <x v="1"/>
    <x v="0"/>
    <s v="да"/>
    <n v="3"/>
    <n v="0"/>
    <n v="3"/>
    <n v="2"/>
    <n v="0"/>
    <n v="2"/>
    <n v="-1"/>
    <n v="0"/>
    <n v="-1"/>
    <n v="40"/>
    <n v="231008.70000000004"/>
    <n v="266"/>
    <n v="7.4664041505607959E-4"/>
    <n v="4.8173395246408729E-4"/>
  </r>
  <r>
    <s v="FOODZOO"/>
    <x v="2"/>
    <s v="Детская гигиена и уход"/>
    <s v="Уход за детьми"/>
    <s v="Детский уход за полостью рта"/>
    <s v="Детские зубные щетки"/>
    <m/>
    <x v="1"/>
    <x v="0"/>
    <s v="да"/>
    <n v="1"/>
    <n v="0"/>
    <n v="1"/>
    <n v="1"/>
    <n v="0"/>
    <n v="1"/>
    <n v="0"/>
    <n v="0"/>
    <n v="0"/>
    <n v="73"/>
    <n v="229617.70999999996"/>
    <n v="766"/>
    <n v="7.4214461316230275E-4"/>
    <n v="1.3872489007048529E-3"/>
  </r>
  <r>
    <s v="FOODZOO"/>
    <x v="2"/>
    <s v="Бытовая химия"/>
    <s v="Средства для уборки"/>
    <s v="Чистящие средства"/>
    <s v="Чистящие средства для ванной"/>
    <m/>
    <x v="1"/>
    <x v="0"/>
    <s v="да"/>
    <n v="10"/>
    <n v="0"/>
    <n v="10"/>
    <n v="10"/>
    <n v="0"/>
    <n v="10"/>
    <n v="0"/>
    <n v="0"/>
    <n v="0"/>
    <n v="19"/>
    <n v="215650.68000000002"/>
    <n v="919"/>
    <n v="6.9700194504503847E-4"/>
    <n v="1.6643364748665272E-3"/>
  </r>
  <r>
    <s v="FOODZOO"/>
    <x v="2"/>
    <s v="Продукция для животных"/>
    <s v="Корма и лакомства для собак"/>
    <s v="Лакомства для собак"/>
    <s v="Лакомства для собак средних и крупных пород"/>
    <m/>
    <x v="1"/>
    <x v="0"/>
    <s v="да"/>
    <n v="0"/>
    <n v="0"/>
    <n v="0"/>
    <n v="0"/>
    <n v="0"/>
    <n v="0"/>
    <n v="0"/>
    <n v="0"/>
    <n v="0"/>
    <n v="22"/>
    <n v="207367.48000000004"/>
    <n v="759"/>
    <n v="6.7022991487477863E-4"/>
    <n v="1.374571691429482E-3"/>
  </r>
  <r>
    <s v="DIY"/>
    <x v="4"/>
    <s v="Мебель"/>
    <s v="Хранение вещей и одежды и организация порядка"/>
    <s v="Вешалки для одежды"/>
    <s v="Напольные вешалки и рейлы"/>
    <m/>
    <x v="1"/>
    <x v="0"/>
    <s v="да"/>
    <n v="1"/>
    <n v="0"/>
    <n v="1"/>
    <n v="2"/>
    <n v="0"/>
    <n v="2"/>
    <n v="1"/>
    <n v="0"/>
    <n v="1"/>
    <n v="25"/>
    <n v="206203.96999999997"/>
    <n v="127"/>
    <n v="6.6646934832762287E-4"/>
    <n v="2.3000079685315446E-4"/>
  </r>
  <r>
    <s v="HOUSEHOLD"/>
    <x v="4"/>
    <s v="Товары для дома"/>
    <s v="Приготовление пищи"/>
    <s v="Разделка и нарезка продуктов"/>
    <s v="Разделочные доски"/>
    <m/>
    <x v="1"/>
    <x v="0"/>
    <s v="нет"/>
    <n v="0"/>
    <n v="0"/>
    <n v="0"/>
    <n v="4"/>
    <n v="0"/>
    <n v="4"/>
    <n v="4"/>
    <n v="0"/>
    <n v="4"/>
    <n v="32"/>
    <n v="204755.05"/>
    <n v="297"/>
    <n v="6.617863115840585E-4"/>
    <n v="5.3787587925501477E-4"/>
  </r>
  <r>
    <s v="FOODZOO"/>
    <x v="2"/>
    <s v="Бакалея"/>
    <s v="Ингредиенты для готовки"/>
    <s v="Добавки для теста"/>
    <s v="Дрожжи"/>
    <m/>
    <x v="1"/>
    <x v="0"/>
    <s v="да"/>
    <n v="3"/>
    <n v="0"/>
    <n v="3"/>
    <n v="3"/>
    <n v="0"/>
    <n v="3"/>
    <n v="0"/>
    <n v="0"/>
    <n v="0"/>
    <n v="5"/>
    <n v="198654.08000000002"/>
    <n v="341"/>
    <n v="6.4206744050671516E-4"/>
    <n v="6.1756119470020212E-4"/>
  </r>
  <r>
    <s v="HOUSEHOLD"/>
    <x v="4"/>
    <s v="Товары для дома"/>
    <s v="Приготовление пищи"/>
    <s v="Кастрюли, сковороды, пароварки, горшки"/>
    <s v="Казаны"/>
    <m/>
    <x v="1"/>
    <x v="0"/>
    <s v="да"/>
    <n v="6"/>
    <n v="0"/>
    <n v="6"/>
    <n v="3"/>
    <n v="0"/>
    <n v="3"/>
    <n v="-3"/>
    <n v="0"/>
    <n v="-3"/>
    <n v="36"/>
    <n v="195370.37"/>
    <n v="104"/>
    <n v="6.3145420127666096E-4"/>
    <n v="1.8834710923407922E-4"/>
  </r>
  <r>
    <s v="HOUSEHOLD"/>
    <x v="4"/>
    <s v="Товары для дома"/>
    <s v="Сервировка стола"/>
    <s v="Питьевое стекло"/>
    <s v="Стаканы для напитков"/>
    <m/>
    <x v="1"/>
    <x v="0"/>
    <s v="да"/>
    <n v="0"/>
    <n v="0"/>
    <n v="0"/>
    <n v="5"/>
    <n v="0"/>
    <n v="5"/>
    <n v="5"/>
    <n v="0"/>
    <n v="5"/>
    <n v="46"/>
    <n v="194908.52000000002"/>
    <n v="1580"/>
    <n v="6.2996146149805685E-4"/>
    <n v="2.8614272364408193E-3"/>
  </r>
  <r>
    <s v="FOODZOO"/>
    <x v="2"/>
    <s v="Гигиена"/>
    <s v="Мыло туалетное"/>
    <s v="Мыло жидкое"/>
    <s v="Жидкое для интимной гигиены"/>
    <m/>
    <x v="1"/>
    <x v="0"/>
    <s v="да"/>
    <n v="1"/>
    <n v="0"/>
    <n v="1"/>
    <n v="1"/>
    <n v="0"/>
    <n v="1"/>
    <n v="0"/>
    <n v="0"/>
    <n v="0"/>
    <n v="15"/>
    <n v="177329.75"/>
    <n v="764"/>
    <n v="5.7314533236969346E-4"/>
    <n v="1.3836268409118898E-3"/>
  </r>
  <r>
    <s v="FOODZOO"/>
    <x v="2"/>
    <s v="Бытовая химия"/>
    <s v="Средства для уборки"/>
    <s v="Чистящие средства"/>
    <s v="Чистящие средства для мытья пола"/>
    <m/>
    <x v="1"/>
    <x v="0"/>
    <s v="да"/>
    <n v="0"/>
    <n v="0"/>
    <n v="0"/>
    <n v="0"/>
    <n v="0"/>
    <n v="0"/>
    <n v="0"/>
    <n v="0"/>
    <n v="0"/>
    <n v="15"/>
    <n v="176178.74"/>
    <n v="520"/>
    <n v="5.6942516692080035E-4"/>
    <n v="9.417355461703962E-4"/>
  </r>
  <r>
    <s v="DIY"/>
    <x v="4"/>
    <s v="Мебель"/>
    <s v="Хранение вещей и одежды и организация порядка"/>
    <s v="Хранение вещей и одежды"/>
    <s v="Чехол для одежды"/>
    <m/>
    <x v="1"/>
    <x v="0"/>
    <s v="да"/>
    <n v="0"/>
    <n v="0"/>
    <n v="0"/>
    <n v="5"/>
    <n v="0"/>
    <n v="5"/>
    <n v="5"/>
    <n v="0"/>
    <n v="5"/>
    <n v="36"/>
    <n v="168138.14"/>
    <n v="1922"/>
    <n v="5.4343724126561981E-4"/>
    <n v="3.480799461037503E-3"/>
  </r>
  <r>
    <s v="HOUSEHOLD"/>
    <x v="4"/>
    <s v="Товары для дома"/>
    <s v="Хозяйственные товары"/>
    <s v="Товары для уборки"/>
    <s v="Губки для мытья посуды"/>
    <m/>
    <x v="1"/>
    <x v="0"/>
    <s v="да"/>
    <n v="1"/>
    <n v="0"/>
    <n v="1"/>
    <n v="5"/>
    <n v="0"/>
    <n v="5"/>
    <n v="4"/>
    <n v="0"/>
    <n v="4"/>
    <n v="78"/>
    <n v="167749.11000000002"/>
    <n v="1132"/>
    <n v="5.4217986212505391E-4"/>
    <n v="2.0500858428170931E-3"/>
  </r>
  <r>
    <s v="HOUSEHOLD"/>
    <x v="4"/>
    <s v="Товары для дома"/>
    <s v="Посуда и кухонные принадлежности"/>
    <s v="Одноразовая посуда"/>
    <s v="Наборы одноразовой посуды"/>
    <m/>
    <x v="1"/>
    <x v="1"/>
    <s v="да"/>
    <n v="0"/>
    <n v="0"/>
    <n v="0"/>
    <n v="10"/>
    <n v="0"/>
    <n v="10"/>
    <n v="10"/>
    <n v="0"/>
    <n v="10"/>
    <n v="25"/>
    <n v="166313.87"/>
    <n v="443"/>
    <n v="5.3754104034342792E-4"/>
    <n v="8.0228624414131831E-4"/>
  </r>
  <r>
    <s v="HOUSEHOLD"/>
    <x v="4"/>
    <s v="Товары для дома"/>
    <s v="Текстиль для спальни"/>
    <s v="Постельное белье"/>
    <s v="Наволочка 50х70"/>
    <m/>
    <x v="1"/>
    <x v="0"/>
    <s v="да"/>
    <n v="0"/>
    <n v="0"/>
    <n v="0"/>
    <n v="0"/>
    <n v="0"/>
    <n v="0"/>
    <n v="0"/>
    <n v="0"/>
    <n v="0"/>
    <n v="95"/>
    <n v="165687.11999999994"/>
    <n v="532"/>
    <n v="5.3551532927654404E-4"/>
    <n v="9.6346790492817457E-4"/>
  </r>
  <r>
    <s v="FOODZOO"/>
    <x v="2"/>
    <s v="Гигиена"/>
    <s v="Уход за зубами и полостью рта"/>
    <s v="Прочие средства для ухода за полостью рта"/>
    <s v="Прочие средства для ухода за полостью рта"/>
    <m/>
    <x v="1"/>
    <x v="0"/>
    <s v="да"/>
    <n v="3"/>
    <n v="0"/>
    <n v="3"/>
    <n v="3"/>
    <n v="0"/>
    <n v="3"/>
    <n v="0"/>
    <n v="0"/>
    <n v="0"/>
    <n v="74"/>
    <n v="164746.22999999998"/>
    <n v="622"/>
    <n v="5.3247429012900514E-4"/>
    <n v="1.1264605956115123E-3"/>
  </r>
  <r>
    <s v="HOUSEHOLD"/>
    <x v="4"/>
    <s v="Товары для дома"/>
    <s v="Сервировка стола"/>
    <s v="Питьевое стекло"/>
    <s v="Графины, кувшины, декантеры, штофы"/>
    <m/>
    <x v="1"/>
    <x v="0"/>
    <s v="да"/>
    <n v="0"/>
    <n v="0"/>
    <n v="0"/>
    <n v="2"/>
    <n v="0"/>
    <n v="2"/>
    <n v="2"/>
    <n v="0"/>
    <n v="2"/>
    <n v="10"/>
    <n v="162346.26"/>
    <n v="204"/>
    <n v="5.2471737622523387E-4"/>
    <n v="3.6945009888223233E-4"/>
  </r>
  <r>
    <s v="HOUSEHOLD"/>
    <x v="4"/>
    <s v="Товары для дома"/>
    <s v="Сервировка стола"/>
    <s v="Столовая посуда"/>
    <s v="Столовая посуда прочее"/>
    <m/>
    <x v="1"/>
    <x v="0"/>
    <s v="да"/>
    <n v="0"/>
    <n v="0"/>
    <n v="0"/>
    <n v="5"/>
    <n v="0"/>
    <n v="5"/>
    <n v="5"/>
    <n v="0"/>
    <n v="5"/>
    <n v="7"/>
    <n v="160181.24"/>
    <n v="128"/>
    <n v="5.1771984136440516E-4"/>
    <n v="2.3181182674963599E-4"/>
  </r>
  <r>
    <s v="DIY"/>
    <x v="2"/>
    <s v="Специальное питание"/>
    <s v="Спортивное питание"/>
    <s v="Средства для суставов и связок"/>
    <s v="Средство для суставов и связок"/>
    <m/>
    <x v="1"/>
    <x v="0"/>
    <s v="нет"/>
    <n v="0"/>
    <n v="0"/>
    <n v="0"/>
    <n v="0"/>
    <n v="0"/>
    <n v="0"/>
    <n v="0"/>
    <n v="0"/>
    <n v="0"/>
    <n v="36"/>
    <n v="155231.76"/>
    <n v="212"/>
    <n v="5.0172268713812821E-4"/>
    <n v="3.8393833805408457E-4"/>
  </r>
  <r>
    <s v="HOUSEHOLD"/>
    <x v="4"/>
    <s v="Товары для дома"/>
    <s v="Приготовление напитков"/>
    <s v="Приготовление чая и кофе"/>
    <s v="Заварочный чайник"/>
    <m/>
    <x v="1"/>
    <x v="0"/>
    <s v="да"/>
    <n v="1"/>
    <n v="0"/>
    <n v="1"/>
    <n v="3"/>
    <n v="0"/>
    <n v="3"/>
    <n v="2"/>
    <n v="0"/>
    <n v="2"/>
    <n v="17"/>
    <n v="151807.79"/>
    <n v="171"/>
    <n v="4.9065611526468984E-4"/>
    <n v="3.0968611229834184E-4"/>
  </r>
  <r>
    <s v="FOODZOO"/>
    <x v="2"/>
    <s v="Бытовая химия"/>
    <s v="Мытье посуды"/>
    <s v="Средства для автоматического мытья посуды"/>
    <s v="Добавки для ПММ"/>
    <m/>
    <x v="1"/>
    <x v="0"/>
    <s v="да"/>
    <n v="6"/>
    <n v="0"/>
    <n v="6"/>
    <n v="6"/>
    <n v="0"/>
    <n v="6"/>
    <n v="0"/>
    <n v="0"/>
    <n v="0"/>
    <n v="3"/>
    <n v="150038.24"/>
    <n v="630"/>
    <n v="4.8493677419025194E-4"/>
    <n v="1.1409488347833645E-3"/>
  </r>
  <r>
    <s v="HOUSEHOLD"/>
    <x v="4"/>
    <s v="Товары для дома"/>
    <s v="Приготовление пищи"/>
    <s v="Разделка и нарезка продуктов"/>
    <s v="Разделка и нарезка продуктов прочее"/>
    <m/>
    <x v="1"/>
    <x v="0"/>
    <s v="нет"/>
    <n v="0"/>
    <n v="0"/>
    <n v="0"/>
    <n v="0"/>
    <n v="0"/>
    <n v="0"/>
    <n v="0"/>
    <n v="0"/>
    <n v="0"/>
    <n v="29"/>
    <n v="145323.41999999998"/>
    <n v="361"/>
    <n v="4.696980617014378E-4"/>
    <n v="6.5378179262983273E-4"/>
  </r>
  <r>
    <s v="FOODZOO"/>
    <x v="2"/>
    <s v="Специальное питание"/>
    <s v="Диабетическое питание"/>
    <s v="Заменители сахара"/>
    <s v="Синтетические заменители сахара"/>
    <m/>
    <x v="1"/>
    <x v="0"/>
    <s v="да"/>
    <n v="2"/>
    <n v="0"/>
    <n v="2"/>
    <n v="2"/>
    <n v="0"/>
    <n v="2"/>
    <n v="0"/>
    <n v="0"/>
    <n v="0"/>
    <n v="19"/>
    <n v="137343.88"/>
    <n v="342"/>
    <n v="4.4390748733105014E-4"/>
    <n v="6.1937222459668368E-4"/>
  </r>
  <r>
    <s v="HOUSEHOLD"/>
    <x v="4"/>
    <s v="Товары для дома"/>
    <s v="Освещение"/>
    <s v="Умный дом"/>
    <s v="Умная лампа"/>
    <m/>
    <x v="1"/>
    <x v="0"/>
    <s v="да"/>
    <n v="0"/>
    <n v="0"/>
    <n v="0"/>
    <n v="3"/>
    <n v="0"/>
    <n v="3"/>
    <n v="3"/>
    <n v="0"/>
    <n v="3"/>
    <n v="7"/>
    <n v="133901.09"/>
    <n v="211"/>
    <n v="4.3278008756406766E-4"/>
    <n v="3.8212730815760307E-4"/>
  </r>
  <r>
    <s v="FOODZOO"/>
    <x v="2"/>
    <s v="Бытовая химия"/>
    <s v="Освежители воздуха"/>
    <s v="Автоматические освежители воздуха"/>
    <s v="Автоматические освежители воздуха"/>
    <m/>
    <x v="1"/>
    <x v="0"/>
    <s v="да"/>
    <n v="0"/>
    <n v="0"/>
    <n v="0"/>
    <n v="0"/>
    <n v="0"/>
    <n v="0"/>
    <n v="0"/>
    <n v="0"/>
    <n v="0"/>
    <n v="8"/>
    <n v="127442.06"/>
    <n v="585"/>
    <n v="4.1190393510721359E-4"/>
    <n v="1.0594524894416957E-3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стенные светильники и бра"/>
    <m/>
    <x v="1"/>
    <x v="0"/>
    <s v="да"/>
    <n v="1"/>
    <n v="0"/>
    <n v="1"/>
    <n v="0"/>
    <n v="0"/>
    <n v="0"/>
    <n v="-1"/>
    <n v="0"/>
    <n v="-1"/>
    <n v="40"/>
    <n v="125740.57999999999"/>
    <n v="136"/>
    <n v="4.0640460225347422E-4"/>
    <n v="2.4630006592148824E-4"/>
  </r>
  <r>
    <s v="DIY"/>
    <x v="4"/>
    <s v="Мебель"/>
    <s v="Корпусная мебель"/>
    <s v="Малые формы"/>
    <s v="Подставки для обуви"/>
    <m/>
    <x v="1"/>
    <x v="0"/>
    <s v="нет"/>
    <n v="0"/>
    <n v="0"/>
    <n v="0"/>
    <n v="2"/>
    <n v="0"/>
    <n v="2"/>
    <n v="2"/>
    <n v="0"/>
    <n v="2"/>
    <n v="8"/>
    <n v="125609.98"/>
    <n v="95"/>
    <n v="4.0598249157882728E-4"/>
    <n v="1.7204784016574545E-4"/>
  </r>
  <r>
    <s v="HOUSEHOLD"/>
    <x v="4"/>
    <s v="Товары для дома"/>
    <s v="Приготовление пищи"/>
    <s v="Кухонная утварь"/>
    <s v="Набор кухонных принадлежностей"/>
    <m/>
    <x v="1"/>
    <x v="0"/>
    <s v="да"/>
    <n v="0"/>
    <n v="0"/>
    <n v="0"/>
    <n v="3"/>
    <n v="0"/>
    <n v="3"/>
    <n v="3"/>
    <n v="0"/>
    <n v="3"/>
    <n v="14"/>
    <n v="123541.34"/>
    <n v="203"/>
    <n v="3.9929646534604202E-4"/>
    <n v="3.6763906898575082E-4"/>
  </r>
  <r>
    <s v="HOUSEHOLD"/>
    <x v="4"/>
    <s v="Товары для дома"/>
    <s v="Сервировка стола"/>
    <s v="Столовые приборы"/>
    <s v="Комплекты разных столовых приборов"/>
    <m/>
    <x v="1"/>
    <x v="0"/>
    <s v="да"/>
    <n v="2"/>
    <n v="0"/>
    <n v="2"/>
    <n v="2"/>
    <n v="0"/>
    <n v="2"/>
    <n v="0"/>
    <n v="0"/>
    <n v="0"/>
    <n v="10"/>
    <n v="121459.67"/>
    <n v="101"/>
    <n v="3.9256832500842798E-4"/>
    <n v="1.8291401954463463E-4"/>
  </r>
  <r>
    <s v="HOUSEHOLD"/>
    <x v="4"/>
    <s v="Товары для дома"/>
    <s v="Текстиль для кухни и столовой"/>
    <s v="Скатерти и клеенки"/>
    <s v="Скатерти"/>
    <m/>
    <x v="1"/>
    <x v="0"/>
    <s v="да"/>
    <n v="0"/>
    <n v="0"/>
    <n v="0"/>
    <n v="6"/>
    <n v="0"/>
    <n v="6"/>
    <n v="6"/>
    <n v="0"/>
    <n v="6"/>
    <n v="19"/>
    <n v="119994.46999999999"/>
    <n v="169"/>
    <n v="3.8783266987448635E-4"/>
    <n v="3.0606405250537878E-4"/>
  </r>
  <r>
    <s v="HOBBIES&amp;SCHOOL"/>
    <x v="1"/>
    <s v="Книги, хобби, канцелярия"/>
    <s v="Канцелярия"/>
    <s v="Бумажная продукция"/>
    <s v="Календари"/>
    <m/>
    <x v="0"/>
    <x v="2"/>
    <s v="да"/>
    <n v="0"/>
    <n v="0"/>
    <n v="0"/>
    <n v="0"/>
    <n v="0"/>
    <n v="0"/>
    <n v="0"/>
    <n v="0"/>
    <n v="0"/>
    <n v="6"/>
    <n v="911"/>
    <n v="9"/>
    <n v="2.9444320413737158E-6"/>
    <n v="1.629926906833378E-5"/>
  </r>
  <r>
    <s v="FOODZOO"/>
    <x v="2"/>
    <s v="Бытовая химия"/>
    <s v="Средства для уборки"/>
    <s v="Чистящие средства"/>
    <s v="Чистящие средства для кухни"/>
    <m/>
    <x v="1"/>
    <x v="0"/>
    <s v="да"/>
    <n v="6"/>
    <n v="0"/>
    <n v="6"/>
    <n v="6"/>
    <n v="0"/>
    <n v="6"/>
    <n v="0"/>
    <n v="0"/>
    <n v="0"/>
    <n v="15"/>
    <n v="119082.20999999999"/>
    <n v="484"/>
    <n v="3.848841654024078E-4"/>
    <n v="8.765384698970611E-4"/>
  </r>
  <r>
    <s v="HOUSEHOLD"/>
    <x v="4"/>
    <s v="Товары для дома"/>
    <s v="Освещение"/>
    <s v="Аксессуары для освещения"/>
    <s v="Комплектующие и лампочки"/>
    <m/>
    <x v="1"/>
    <x v="0"/>
    <s v="да"/>
    <n v="0"/>
    <n v="0"/>
    <n v="0"/>
    <n v="25"/>
    <n v="0"/>
    <n v="25"/>
    <n v="25"/>
    <n v="0"/>
    <n v="25"/>
    <n v="77"/>
    <n v="116577.95999999998"/>
    <n v="1087"/>
    <n v="3.7679020937649103E-4"/>
    <n v="1.9685894974754243E-3"/>
  </r>
  <r>
    <s v="HOUSEHOLD"/>
    <x v="4"/>
    <s v="Товары для дома"/>
    <s v="Декор помещений"/>
    <s v="Декоративные объекты"/>
    <s v="Свечи и подсвечники"/>
    <m/>
    <x v="1"/>
    <x v="1"/>
    <s v="да"/>
    <n v="0"/>
    <n v="0"/>
    <n v="0"/>
    <n v="2"/>
    <n v="0"/>
    <n v="2"/>
    <n v="2"/>
    <n v="0"/>
    <n v="2"/>
    <n v="35"/>
    <n v="115445.2"/>
    <n v="310"/>
    <n v="3.7312902953106139E-4"/>
    <n v="5.6141926790927469E-4"/>
  </r>
  <r>
    <s v="TOYS"/>
    <x v="2"/>
    <s v="Детская гигиена и уход"/>
    <s v="Уход за детьми"/>
    <s v="Средства для купания детей"/>
    <s v="Шампунь детский"/>
    <m/>
    <x v="1"/>
    <x v="0"/>
    <s v="да"/>
    <n v="4"/>
    <n v="0"/>
    <n v="4"/>
    <n v="4"/>
    <n v="0"/>
    <n v="4"/>
    <n v="0"/>
    <n v="0"/>
    <n v="0"/>
    <n v="36"/>
    <n v="115358.24999999999"/>
    <n v="305"/>
    <n v="3.7284799949154713E-4"/>
    <n v="5.5236411842686701E-4"/>
  </r>
  <r>
    <s v="DIY"/>
    <x v="4"/>
    <s v="Строительство и ремонт"/>
    <s v="Сантехника"/>
    <s v="Смесители"/>
    <s v="Смесители для ванной комнаты"/>
    <m/>
    <x v="1"/>
    <x v="0"/>
    <s v="да"/>
    <n v="0"/>
    <n v="0"/>
    <n v="0"/>
    <n v="0"/>
    <n v="0"/>
    <n v="0"/>
    <n v="0"/>
    <n v="0"/>
    <n v="0"/>
    <n v="47"/>
    <n v="111802.90999999999"/>
    <n v="95"/>
    <n v="3.6135682823580878E-4"/>
    <n v="1.7204784016574545E-4"/>
  </r>
  <r>
    <s v="FOODZOO"/>
    <x v="2"/>
    <s v="Продукция для животных"/>
    <s v="Наполнители и уход"/>
    <s v="Наполнители"/>
    <s v="Силикагелевые наполнители"/>
    <m/>
    <x v="1"/>
    <x v="0"/>
    <s v="да"/>
    <n v="5"/>
    <n v="0"/>
    <n v="5"/>
    <n v="5"/>
    <n v="0"/>
    <n v="5"/>
    <n v="0"/>
    <n v="0"/>
    <n v="0"/>
    <n v="4"/>
    <n v="108237.04"/>
    <n v="256"/>
    <n v="3.4983162309489409E-4"/>
    <n v="4.6362365349927198E-4"/>
  </r>
  <r>
    <s v="HOUSEHOLD"/>
    <x v="4"/>
    <s v="Товары для дома"/>
    <s v="Приготовление пищи"/>
    <s v="Товары для выпечки и запекания"/>
    <s v="Формы для выпечки, наборы форм для выпечки"/>
    <m/>
    <x v="1"/>
    <x v="0"/>
    <s v="да"/>
    <n v="1"/>
    <n v="0"/>
    <n v="1"/>
    <n v="3"/>
    <n v="0"/>
    <n v="3"/>
    <n v="2"/>
    <n v="0"/>
    <n v="2"/>
    <n v="28"/>
    <n v="107183.37"/>
    <n v="257"/>
    <n v="3.4642606907839111E-4"/>
    <n v="4.6543468339575348E-4"/>
  </r>
  <r>
    <s v="FOODZOO"/>
    <x v="2"/>
    <s v="Бытовая химия"/>
    <s v="Средства для сантехники"/>
    <s v="Средства для прочистки труб и стоков"/>
    <s v="Средства для прочистки труб и стоков"/>
    <m/>
    <x v="1"/>
    <x v="0"/>
    <s v="да"/>
    <n v="7"/>
    <n v="0"/>
    <n v="7"/>
    <n v="7"/>
    <n v="0"/>
    <n v="7"/>
    <n v="0"/>
    <n v="0"/>
    <n v="0"/>
    <n v="10"/>
    <n v="106755.26"/>
    <n v="401"/>
    <n v="3.4504237994421714E-4"/>
    <n v="7.2622298848909396E-4"/>
  </r>
  <r>
    <s v="HOUSEHOLD"/>
    <x v="4"/>
    <s v="Товары для дома"/>
    <s v="Текстиль для кухни и столовой"/>
    <s v="Фартуки, прихватки, кухонные полотенца"/>
    <s v="Кухонное полотенце"/>
    <m/>
    <x v="1"/>
    <x v="0"/>
    <s v="да"/>
    <n v="0"/>
    <n v="0"/>
    <n v="0"/>
    <n v="10"/>
    <n v="0"/>
    <n v="10"/>
    <n v="10"/>
    <n v="0"/>
    <n v="10"/>
    <n v="16"/>
    <n v="103066.36000000002"/>
    <n v="396"/>
    <n v="3.3311953103376329E-4"/>
    <n v="7.1716783900668628E-4"/>
  </r>
  <r>
    <s v="HOUSEHOLD"/>
    <x v="4"/>
    <s v="Товары для дома"/>
    <s v="Уход за бельем и одеждой"/>
    <s v="Стирка белья"/>
    <s v="Корзины и сумки для грязного белья"/>
    <m/>
    <x v="0"/>
    <x v="0"/>
    <s v="да"/>
    <n v="0"/>
    <n v="0"/>
    <n v="0"/>
    <n v="2"/>
    <n v="0"/>
    <n v="2"/>
    <n v="2"/>
    <n v="0"/>
    <n v="2"/>
    <n v="7"/>
    <n v="37690.58"/>
    <n v="32"/>
    <n v="1.2181926609216175E-4"/>
    <n v="5.7952956687408997E-5"/>
  </r>
  <r>
    <s v="DIY"/>
    <x v="5"/>
    <s v="Бытовая техника и Электроника"/>
    <s v="Климатическая техника"/>
    <s v="Обогревательные приборы"/>
    <s v="Тепловентилятор"/>
    <m/>
    <x v="0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Коврик для ванной комнаты"/>
    <s v="Коврики для ванной и туалета"/>
    <m/>
    <x v="1"/>
    <x v="0"/>
    <s v="да"/>
    <n v="0"/>
    <n v="0"/>
    <n v="0"/>
    <n v="6"/>
    <n v="0"/>
    <n v="6"/>
    <n v="6"/>
    <n v="0"/>
    <n v="6"/>
    <n v="33"/>
    <n v="99598.77"/>
    <n v="148"/>
    <n v="3.2191197548782791E-4"/>
    <n v="2.680324246792666E-4"/>
  </r>
  <r>
    <s v="DIY"/>
    <x v="5"/>
    <s v="Бытовая техника и Электроника"/>
    <s v="Малая бытовая техника"/>
    <s v="Техника для красоты и здоровья"/>
    <s v="Эпилятор"/>
    <m/>
    <x v="0"/>
    <x v="0"/>
    <s v="да"/>
    <n v="0"/>
    <n v="0"/>
    <n v="0"/>
    <n v="2"/>
    <n v="0"/>
    <n v="2"/>
    <n v="2"/>
    <n v="0"/>
    <n v="2"/>
    <n v="8"/>
    <n v="34057"/>
    <n v="9"/>
    <n v="1.1007521628217853E-4"/>
    <n v="1.629926906833378E-5"/>
  </r>
  <r>
    <s v="HOUSEHOLD"/>
    <x v="4"/>
    <s v="Товары для дома"/>
    <s v="Сервировка стола"/>
    <s v="Столовые приборы"/>
    <s v="Ложки столовые"/>
    <m/>
    <x v="1"/>
    <x v="0"/>
    <s v="да"/>
    <n v="0"/>
    <n v="0"/>
    <n v="0"/>
    <n v="5"/>
    <n v="0"/>
    <n v="5"/>
    <n v="5"/>
    <n v="0"/>
    <n v="5"/>
    <n v="24"/>
    <n v="96527.7"/>
    <n v="157"/>
    <n v="3.1198600742053748E-4"/>
    <n v="2.8433169374760041E-4"/>
  </r>
  <r>
    <s v="TOYS"/>
    <x v="3"/>
    <s v="Одежда"/>
    <s v="Чулки, носки"/>
    <s v="Чулочно-носочные изделия для женщин"/>
    <s v="Чулки"/>
    <m/>
    <x v="0"/>
    <x v="1"/>
    <s v="да"/>
    <n v="0"/>
    <n v="0"/>
    <n v="0"/>
    <n v="2"/>
    <n v="0"/>
    <n v="2"/>
    <n v="2"/>
    <n v="0"/>
    <n v="2"/>
    <n v="2"/>
    <n v="15967.15"/>
    <n v="32"/>
    <n v="5.1607231689813753E-5"/>
    <n v="5.7952956687408997E-5"/>
  </r>
  <r>
    <s v="BEAUTY&amp;HEALTH&amp; PHARMA"/>
    <x v="2"/>
    <s v="Уход"/>
    <s v="Наборы подарочные косметические"/>
    <s v="Наборы подарочные косметические мужские"/>
    <s v="Наборы подарочные косметические мужские"/>
    <m/>
    <x v="0"/>
    <x v="1"/>
    <s v="да"/>
    <n v="0"/>
    <n v="0"/>
    <n v="0"/>
    <n v="2"/>
    <n v="0"/>
    <n v="2"/>
    <n v="2"/>
    <n v="0"/>
    <n v="2"/>
    <n v="0"/>
    <n v="0"/>
    <n v="0"/>
    <n v="0"/>
    <n v="0"/>
  </r>
  <r>
    <s v="DIY"/>
    <x v="4"/>
    <s v="Праздничные и сезонные товары"/>
    <s v="Садовый инвентарь"/>
    <s v="Инвентарь для сада"/>
    <s v="Садовые инструменты"/>
    <m/>
    <x v="1"/>
    <x v="1"/>
    <s v="да"/>
    <n v="0"/>
    <n v="0"/>
    <n v="0"/>
    <n v="0"/>
    <n v="0"/>
    <n v="0"/>
    <n v="0"/>
    <n v="0"/>
    <n v="0"/>
    <n v="24"/>
    <n v="93201.75"/>
    <n v="220"/>
    <n v="3.0123624479923462E-4"/>
    <n v="3.9842657722593687E-4"/>
  </r>
  <r>
    <s v="HOUSEHOLD"/>
    <x v="4"/>
    <s v="Товары для дома"/>
    <s v="Текстиль для спальни"/>
    <s v="Постельное белье"/>
    <s v="Простыня евро"/>
    <m/>
    <x v="0"/>
    <x v="3"/>
    <s v="да"/>
    <n v="1"/>
    <n v="0"/>
    <n v="1"/>
    <n v="3"/>
    <n v="0"/>
    <n v="3"/>
    <n v="2"/>
    <n v="0"/>
    <n v="2"/>
    <n v="0"/>
    <n v="0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Салфетка автомобильная"/>
    <m/>
    <x v="0"/>
    <x v="3"/>
    <s v="да"/>
    <n v="1"/>
    <n v="0"/>
    <n v="1"/>
    <n v="3"/>
    <n v="0"/>
    <n v="3"/>
    <n v="2"/>
    <n v="0"/>
    <n v="2"/>
    <n v="28"/>
    <n v="34856.19"/>
    <n v="126"/>
    <n v="1.1265826857981352E-4"/>
    <n v="2.2818976695667293E-4"/>
  </r>
  <r>
    <s v="BEAUTY&amp;HEALTH&amp; PHARMA"/>
    <x v="0"/>
    <s v="Парфюмерия и декоративная косметика"/>
    <s v="Декоративная косметика"/>
    <s v="Для лица"/>
    <s v="Корректоры, консилеры"/>
    <m/>
    <x v="0"/>
    <x v="0"/>
    <s v="да"/>
    <n v="1"/>
    <n v="1"/>
    <n v="2"/>
    <n v="4"/>
    <n v="0"/>
    <n v="4"/>
    <n v="3"/>
    <n v="-1"/>
    <n v="2"/>
    <n v="149"/>
    <n v="984387.08999999985"/>
    <n v="2371"/>
    <n v="3.1816255641170486E-3"/>
    <n v="4.2939518845577099E-3"/>
  </r>
  <r>
    <s v="TOYS"/>
    <x v="3"/>
    <s v="Аксессуары"/>
    <s v="Аксессуары для волос"/>
    <s v="Ободки"/>
    <s v="Ободок"/>
    <m/>
    <x v="0"/>
    <x v="1"/>
    <s v="да"/>
    <n v="0"/>
    <n v="1"/>
    <n v="1"/>
    <n v="3"/>
    <n v="0"/>
    <n v="3"/>
    <n v="3"/>
    <n v="-1"/>
    <n v="2"/>
    <n v="7"/>
    <n v="2932.87"/>
    <n v="37"/>
    <n v="9.4792935248998139E-6"/>
    <n v="6.7008106169816651E-5"/>
  </r>
  <r>
    <s v="BEAUTY&amp;HEALTH&amp; PHARMA"/>
    <x v="0"/>
    <s v="Парфюмерия и декоративная косметика"/>
    <s v="Декоративная косметика"/>
    <s v="Для глаз"/>
    <s v="Тени для век"/>
    <m/>
    <x v="0"/>
    <x v="1"/>
    <s v="да"/>
    <n v="0"/>
    <n v="1"/>
    <n v="1"/>
    <n v="3"/>
    <n v="0"/>
    <n v="3"/>
    <n v="3"/>
    <n v="-1"/>
    <n v="2"/>
    <n v="213"/>
    <n v="808785.59000000008"/>
    <n v="1881"/>
    <n v="2.6140660875931345E-3"/>
    <n v="3.40654723528176E-3"/>
  </r>
  <r>
    <s v="BEAUTY&amp;HEALTH&amp; PHARMA"/>
    <x v="0"/>
    <s v="Парфюмерия и декоративная косметика"/>
    <s v="Декоративная косметика"/>
    <s v="Наборы декоративной косметики подарочные"/>
    <s v="Наборы декоративной косметики подарочные"/>
    <m/>
    <x v="0"/>
    <x v="1"/>
    <s v="да"/>
    <n v="0"/>
    <n v="1"/>
    <n v="1"/>
    <n v="3"/>
    <n v="0"/>
    <n v="3"/>
    <n v="3"/>
    <n v="-1"/>
    <n v="2"/>
    <n v="17"/>
    <n v="410050.98999999993"/>
    <n v="337"/>
    <n v="1.3253208271712547E-3"/>
    <n v="6.10317075114276E-4"/>
  </r>
  <r>
    <s v="BEAUTY&amp;HEALTH&amp; PHARMA"/>
    <x v="0"/>
    <s v="Парфюмерия и декоративная косметика"/>
    <s v="Декоративная косметика"/>
    <s v="Для лица"/>
    <s v="Наборы и палетки"/>
    <m/>
    <x v="0"/>
    <x v="1"/>
    <s v="да"/>
    <n v="0"/>
    <n v="1"/>
    <n v="1"/>
    <n v="3"/>
    <n v="0"/>
    <n v="3"/>
    <n v="3"/>
    <n v="-1"/>
    <n v="2"/>
    <n v="34"/>
    <n v="126169.85999999999"/>
    <n v="260"/>
    <n v="4.0779207293044557E-4"/>
    <n v="4.708677730851981E-4"/>
  </r>
  <r>
    <s v="TOYS"/>
    <x v="3"/>
    <s v="Аксессуары"/>
    <s v="Бижутерия"/>
    <s v="Бижутерия общее"/>
    <s v="Брелок"/>
    <m/>
    <x v="0"/>
    <x v="1"/>
    <s v="да"/>
    <n v="0"/>
    <n v="2"/>
    <n v="2"/>
    <n v="4"/>
    <n v="0"/>
    <n v="4"/>
    <n v="4"/>
    <n v="-2"/>
    <n v="2"/>
    <n v="5"/>
    <n v="13440.880000000001"/>
    <n v="62"/>
    <n v="4.3442105089197756E-5"/>
    <n v="1.1228385358185493E-4"/>
  </r>
  <r>
    <s v="BEAUTY&amp;HEALTH&amp; PHARMA"/>
    <x v="0"/>
    <s v="Бады и Витамины"/>
    <s v="Витамины"/>
    <s v="Витамины жидкие, растворимые"/>
    <s v="Витамины жидкие, растворимые"/>
    <m/>
    <x v="0"/>
    <x v="0"/>
    <s v="да"/>
    <n v="6"/>
    <n v="0"/>
    <n v="6"/>
    <n v="5"/>
    <n v="2"/>
    <n v="7"/>
    <n v="-1"/>
    <n v="2"/>
    <n v="1"/>
    <n v="280"/>
    <n v="2691510.7399999988"/>
    <n v="4220"/>
    <n v="8.6991991905131481E-3"/>
    <n v="7.6425461631520614E-3"/>
  </r>
  <r>
    <s v="HOBBIES&amp;SCHOOL"/>
    <x v="1"/>
    <s v="Книги, хобби, канцелярия"/>
    <s v="Канцелярия"/>
    <s v="Бумажная продукция"/>
    <s v="Цветная бумага, картон"/>
    <m/>
    <x v="0"/>
    <x v="1"/>
    <s v="да"/>
    <n v="4"/>
    <n v="1"/>
    <n v="5"/>
    <n v="4"/>
    <n v="2"/>
    <n v="6"/>
    <n v="0"/>
    <n v="1"/>
    <n v="1"/>
    <n v="26"/>
    <n v="44482.860000000015"/>
    <n v="340"/>
    <n v="1.4377251182869511E-4"/>
    <n v="6.1575016480372056E-4"/>
  </r>
  <r>
    <s v="HOBBIES&amp;SCHOOL"/>
    <x v="1"/>
    <s v="Книги, хобби, канцелярия"/>
    <s v="Канцелярия"/>
    <s v="Организация рабочего места"/>
    <s v="Клей, клейкая лента"/>
    <m/>
    <x v="0"/>
    <x v="0"/>
    <s v="да"/>
    <n v="8"/>
    <n v="1"/>
    <n v="9"/>
    <n v="8"/>
    <n v="2"/>
    <n v="10"/>
    <n v="0"/>
    <n v="1"/>
    <n v="1"/>
    <n v="42"/>
    <n v="49199.47"/>
    <n v="371"/>
    <n v="1.5901700975478036E-4"/>
    <n v="6.718920915946481E-4"/>
  </r>
  <r>
    <s v="DIY"/>
    <x v="4"/>
    <s v="Компьютеры и аксессуары"/>
    <s v="Элементы питания"/>
    <s v="Батарейки"/>
    <s v="Батарейки Таблетки"/>
    <m/>
    <x v="0"/>
    <x v="0"/>
    <s v="да"/>
    <n v="0"/>
    <n v="1"/>
    <n v="1"/>
    <n v="0"/>
    <n v="2"/>
    <n v="2"/>
    <n v="0"/>
    <n v="1"/>
    <n v="1"/>
    <n v="1"/>
    <n v="611.49"/>
    <n v="17"/>
    <n v="1.976389406124713E-6"/>
    <n v="3.0787508240186029E-5"/>
  </r>
  <r>
    <s v="HOUSEHOLD"/>
    <x v="4"/>
    <s v="Товары для дома"/>
    <s v="Порядок в доме и уборка"/>
    <s v="Уборка в кухне, ванной и туалете"/>
    <s v="Перчатки для уборки"/>
    <m/>
    <x v="0"/>
    <x v="0"/>
    <s v="да"/>
    <n v="0"/>
    <n v="5"/>
    <n v="5"/>
    <n v="0"/>
    <n v="6"/>
    <n v="6"/>
    <n v="0"/>
    <n v="1"/>
    <n v="1"/>
    <n v="65"/>
    <n v="288126.31"/>
    <n v="1045"/>
    <n v="9.3124954898658188E-4"/>
    <n v="1.8925262418232E-3"/>
  </r>
  <r>
    <s v="HOUSEHOLD"/>
    <x v="4"/>
    <s v="Товары для дома"/>
    <s v="Порядок в доме и уборка"/>
    <s v="Мытье окон"/>
    <s v="Стеклоочистители, скребки, водосгоны для окон"/>
    <m/>
    <x v="0"/>
    <x v="0"/>
    <s v="да"/>
    <n v="0"/>
    <n v="1"/>
    <n v="1"/>
    <n v="0"/>
    <n v="2"/>
    <n v="2"/>
    <n v="0"/>
    <n v="1"/>
    <n v="1"/>
    <n v="10"/>
    <n v="17380.300000000003"/>
    <n v="50"/>
    <n v="5.6174656650590126E-5"/>
    <n v="9.0551494824076551E-5"/>
  </r>
  <r>
    <s v="FOODZOO"/>
    <x v="2"/>
    <s v="Продукция для животных"/>
    <s v="Наполнители и уход"/>
    <s v="Груминг для собак"/>
    <s v="Когтерезы для собак"/>
    <m/>
    <x v="0"/>
    <x v="3"/>
    <s v="да"/>
    <n v="1"/>
    <n v="0"/>
    <n v="1"/>
    <n v="1"/>
    <n v="1"/>
    <n v="2"/>
    <n v="0"/>
    <n v="1"/>
    <n v="1"/>
    <n v="3"/>
    <n v="2941.44"/>
    <n v="16"/>
    <n v="9.5069925178686091E-6"/>
    <n v="2.8976478343704499E-5"/>
  </r>
  <r>
    <s v="FOODZOO"/>
    <x v="2"/>
    <s v="Продукция для животных"/>
    <s v="Аксессуары и игрушки"/>
    <s v="Игрушки для собак"/>
    <s v="Мячики для собак"/>
    <m/>
    <x v="0"/>
    <x v="3"/>
    <s v="да"/>
    <n v="1"/>
    <n v="0"/>
    <n v="1"/>
    <n v="1"/>
    <n v="1"/>
    <n v="2"/>
    <n v="0"/>
    <n v="1"/>
    <n v="1"/>
    <n v="23"/>
    <n v="19580.86"/>
    <n v="128"/>
    <n v="6.3287059913998844E-5"/>
    <n v="2.3181182674963599E-4"/>
  </r>
  <r>
    <s v="FOODZOO"/>
    <x v="2"/>
    <s v="Продукция для животных"/>
    <s v="Наполнители и уход"/>
    <s v="Уход за собаками"/>
    <s v="Уход за глазами для собак"/>
    <m/>
    <x v="0"/>
    <x v="3"/>
    <s v="да"/>
    <n v="1"/>
    <n v="0"/>
    <n v="1"/>
    <n v="1"/>
    <n v="1"/>
    <n v="2"/>
    <n v="0"/>
    <n v="1"/>
    <n v="1"/>
    <n v="0"/>
    <n v="0"/>
    <n v="0"/>
    <n v="0"/>
    <n v="0"/>
  </r>
  <r>
    <s v="FOODZOO"/>
    <x v="2"/>
    <s v="Продукция для животных"/>
    <s v="Наполнители и уход"/>
    <s v="Уход за собаками"/>
    <s v="Уход за ушами для собак"/>
    <m/>
    <x v="0"/>
    <x v="3"/>
    <s v="да"/>
    <n v="1"/>
    <n v="0"/>
    <n v="1"/>
    <n v="1"/>
    <n v="1"/>
    <n v="2"/>
    <n v="0"/>
    <n v="1"/>
    <n v="1"/>
    <n v="1"/>
    <n v="4777.8500000000004"/>
    <n v="16"/>
    <n v="1.5442430986693097E-5"/>
    <n v="2.8976478343704499E-5"/>
  </r>
  <r>
    <s v="BEAUTY&amp;HEALTH&amp; PHARMA"/>
    <x v="0"/>
    <s v="Бады и Витамины"/>
    <s v="Бады"/>
    <s v="Бады для волос, ногтей"/>
    <s v="Бады для волос, ногтей"/>
    <m/>
    <x v="0"/>
    <x v="0"/>
    <s v="да"/>
    <n v="3"/>
    <n v="0"/>
    <n v="3"/>
    <n v="4"/>
    <n v="0"/>
    <n v="4"/>
    <n v="1"/>
    <n v="0"/>
    <n v="1"/>
    <n v="0"/>
    <n v="0"/>
    <n v="0"/>
    <n v="0"/>
    <n v="0"/>
  </r>
  <r>
    <s v="BEAUTY&amp;HEALTH&amp; PHARMA"/>
    <x v="2"/>
    <s v="Уход"/>
    <s v="Средства по уходу за волосами"/>
    <s v="Средства для укладки и стайлинга волос"/>
    <s v="Пена(мусс), жидкость для укладки волос"/>
    <m/>
    <x v="0"/>
    <x v="0"/>
    <s v="да"/>
    <n v="1"/>
    <n v="1"/>
    <n v="2"/>
    <n v="2"/>
    <n v="1"/>
    <n v="3"/>
    <n v="1"/>
    <n v="0"/>
    <n v="1"/>
    <n v="27"/>
    <n v="116783.08"/>
    <n v="238"/>
    <n v="3.7745317523854007E-4"/>
    <n v="4.3102511536260443E-4"/>
  </r>
  <r>
    <s v="DIY"/>
    <x v="5"/>
    <s v="Бытовая техника и Электроника"/>
    <s v="Малая бытовая техника"/>
    <s v="Техника для кухни"/>
    <s v="Мультиварка"/>
    <m/>
    <x v="0"/>
    <x v="0"/>
    <s v="да"/>
    <n v="1"/>
    <n v="0"/>
    <n v="1"/>
    <n v="2"/>
    <n v="0"/>
    <n v="2"/>
    <n v="1"/>
    <n v="0"/>
    <n v="1"/>
    <n v="5"/>
    <n v="65555.570000000007"/>
    <n v="12"/>
    <n v="2.1188136201813124E-4"/>
    <n v="2.1732358757778372E-5"/>
  </r>
  <r>
    <s v="DIY"/>
    <x v="5"/>
    <s v="Бытовая техника и Электроника"/>
    <s v="Малая бытовая техника"/>
    <s v="Техника для кухни"/>
    <s v="Сушка для фруктов"/>
    <m/>
    <x v="0"/>
    <x v="0"/>
    <s v="да"/>
    <n v="1"/>
    <n v="0"/>
    <n v="1"/>
    <n v="2"/>
    <n v="0"/>
    <n v="2"/>
    <n v="1"/>
    <n v="0"/>
    <n v="1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мясорубка"/>
    <m/>
    <x v="0"/>
    <x v="0"/>
    <s v="да"/>
    <n v="1"/>
    <n v="0"/>
    <n v="1"/>
    <n v="2"/>
    <n v="0"/>
    <n v="2"/>
    <n v="1"/>
    <n v="0"/>
    <n v="1"/>
    <n v="17"/>
    <n v="164387.99"/>
    <n v="39"/>
    <n v="5.313164269736795E-4"/>
    <n v="7.0630165962779713E-5"/>
  </r>
  <r>
    <s v="DIY"/>
    <x v="5"/>
    <s v="Бытовая техника и Электроника"/>
    <s v="Малая бытовая техника"/>
    <s v="Техника для приготовления кофе"/>
    <s v="Кофемашина капсульного типа"/>
    <m/>
    <x v="0"/>
    <x v="0"/>
    <s v="да"/>
    <n v="1"/>
    <n v="0"/>
    <n v="1"/>
    <n v="2"/>
    <n v="0"/>
    <n v="2"/>
    <n v="1"/>
    <n v="0"/>
    <n v="1"/>
    <n v="3"/>
    <n v="90144"/>
    <n v="10"/>
    <n v="2.9135332814225274E-4"/>
    <n v="1.8110298964815311E-5"/>
  </r>
  <r>
    <s v="DIY"/>
    <x v="5"/>
    <s v="Бытовая техника и Электроника"/>
    <s v="Потребительская электроника"/>
    <s v="Аудиотехника"/>
    <s v="Портативные колонки"/>
    <m/>
    <x v="0"/>
    <x v="0"/>
    <s v="да"/>
    <n v="7"/>
    <n v="1"/>
    <n v="8"/>
    <n v="8"/>
    <n v="1"/>
    <n v="9"/>
    <n v="1"/>
    <n v="0"/>
    <n v="1"/>
    <n v="18"/>
    <n v="45640.350000000006"/>
    <n v="41"/>
    <n v="1.4751362120692745E-4"/>
    <n v="7.4252225755742774E-5"/>
  </r>
  <r>
    <s v="DIY"/>
    <x v="4"/>
    <s v="Автомобильные товары и запчасти"/>
    <s v="Автомобильные товары"/>
    <s v="Автопринадлежности"/>
    <s v="Компрессоры, насосы и манометры"/>
    <m/>
    <x v="0"/>
    <x v="0"/>
    <s v="да"/>
    <n v="2"/>
    <n v="0"/>
    <n v="2"/>
    <n v="3"/>
    <n v="0"/>
    <n v="3"/>
    <n v="1"/>
    <n v="0"/>
    <n v="1"/>
    <n v="5"/>
    <n v="20321.86"/>
    <n v="34"/>
    <n v="6.5682037019002053E-5"/>
    <n v="6.1575016480372059E-5"/>
  </r>
  <r>
    <s v="DIY"/>
    <x v="4"/>
    <s v="Автомобильные товары и запчасти"/>
    <s v="Автомобильная электроника"/>
    <s v="Доп. оборудование для автоэлектроники"/>
    <s v="Разветвитель для прикуривателя"/>
    <m/>
    <x v="0"/>
    <x v="0"/>
    <s v="да"/>
    <n v="1"/>
    <n v="0"/>
    <n v="1"/>
    <n v="2"/>
    <n v="0"/>
    <n v="2"/>
    <n v="1"/>
    <n v="0"/>
    <n v="1"/>
    <n v="1"/>
    <n v="1547"/>
    <n v="3"/>
    <n v="5.0000399209716124E-6"/>
    <n v="5.4330896894445931E-6"/>
  </r>
  <r>
    <s v="DIY"/>
    <x v="5"/>
    <s v="Компьютеры и аксессуары"/>
    <s v="IT/Office"/>
    <s v="Сетевое оборудование"/>
    <s v="Усилитель интернет сигнала"/>
    <m/>
    <x v="0"/>
    <x v="0"/>
    <s v="да"/>
    <n v="1"/>
    <n v="0"/>
    <n v="1"/>
    <n v="2"/>
    <n v="0"/>
    <n v="2"/>
    <n v="1"/>
    <n v="0"/>
    <n v="1"/>
    <n v="0"/>
    <n v="0"/>
    <n v="0"/>
    <n v="0"/>
    <n v="0"/>
  </r>
  <r>
    <s v="DIY"/>
    <x v="5"/>
    <s v="Компьютеры и аксессуары"/>
    <s v="IT/Office"/>
    <s v="Сетевое оборудование"/>
    <s v="Wi-Fi роутеры (Маршрутизаторы)"/>
    <m/>
    <x v="0"/>
    <x v="0"/>
    <s v="да"/>
    <n v="4"/>
    <n v="0"/>
    <n v="4"/>
    <n v="5"/>
    <n v="0"/>
    <n v="5"/>
    <n v="1"/>
    <n v="0"/>
    <n v="1"/>
    <n v="7"/>
    <n v="23972"/>
    <n v="12"/>
    <n v="7.747961020396347E-5"/>
    <n v="2.1732358757778372E-5"/>
  </r>
  <r>
    <s v="DIY"/>
    <x v="5"/>
    <s v="Компьютеры и аксессуары"/>
    <s v="IT/Office"/>
    <s v="Электронные книги"/>
    <s v="Электронная книга"/>
    <m/>
    <x v="0"/>
    <x v="0"/>
    <s v="нет"/>
    <n v="1"/>
    <n v="0"/>
    <n v="1"/>
    <n v="2"/>
    <n v="0"/>
    <n v="2"/>
    <n v="1"/>
    <n v="0"/>
    <n v="1"/>
    <n v="0"/>
    <n v="0"/>
    <n v="0"/>
    <n v="0"/>
    <n v="0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Микрофоны"/>
    <m/>
    <x v="0"/>
    <x v="0"/>
    <s v="да"/>
    <n v="3"/>
    <n v="0"/>
    <n v="3"/>
    <n v="4"/>
    <n v="0"/>
    <n v="4"/>
    <n v="1"/>
    <n v="0"/>
    <n v="1"/>
    <n v="8"/>
    <n v="9168.3799999999992"/>
    <n v="21"/>
    <n v="2.963300970306251E-5"/>
    <n v="3.8031627826112152E-5"/>
  </r>
  <r>
    <s v="DIY"/>
    <x v="5"/>
    <s v="Компьютеры и аксессуары"/>
    <s v="Комплектующие и аксессуары для ПК"/>
    <s v="Компьютерные комплектующие"/>
    <s v="Внешний жесткий диск"/>
    <m/>
    <x v="0"/>
    <x v="0"/>
    <s v="да"/>
    <n v="1"/>
    <n v="0"/>
    <n v="1"/>
    <n v="2"/>
    <n v="0"/>
    <n v="2"/>
    <n v="1"/>
    <n v="0"/>
    <n v="1"/>
    <n v="0"/>
    <n v="0"/>
    <n v="0"/>
    <n v="0"/>
    <n v="0"/>
  </r>
  <r>
    <s v="TOYS"/>
    <x v="2"/>
    <s v="Детская гигиена и уход"/>
    <s v="Уход за детьми"/>
    <s v="Уход за кожей ребенка"/>
    <s v="Детский крем"/>
    <m/>
    <x v="1"/>
    <x v="0"/>
    <s v="да"/>
    <n v="6"/>
    <n v="0"/>
    <n v="6"/>
    <n v="6"/>
    <n v="0"/>
    <n v="6"/>
    <n v="0"/>
    <n v="0"/>
    <n v="0"/>
    <n v="35"/>
    <n v="92622.159999999974"/>
    <n v="384"/>
    <n v="2.9936295899587583E-4"/>
    <n v="6.9543548024890791E-4"/>
  </r>
  <r>
    <s v="DIY"/>
    <x v="5"/>
    <s v="Смартфоны и гаджеты"/>
    <s v="Telecom"/>
    <s v="Аудиотехника для гаджетов"/>
    <s v="Проводные наушники и гарнитуры для телефонов"/>
    <m/>
    <x v="0"/>
    <x v="0"/>
    <s v="да"/>
    <n v="1"/>
    <n v="1"/>
    <n v="2"/>
    <n v="2"/>
    <n v="1"/>
    <n v="3"/>
    <n v="1"/>
    <n v="0"/>
    <n v="1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Комплект постельного белья 2 сп"/>
    <m/>
    <x v="1"/>
    <x v="0"/>
    <s v="да"/>
    <n v="12"/>
    <n v="0"/>
    <n v="12"/>
    <n v="12"/>
    <n v="0"/>
    <n v="12"/>
    <n v="0"/>
    <n v="0"/>
    <n v="0"/>
    <n v="6"/>
    <n v="92582.73"/>
    <n v="60"/>
    <n v="2.9923551777151654E-4"/>
    <n v="1.0866179378889187E-4"/>
  </r>
  <r>
    <s v="FOODZOO"/>
    <x v="2"/>
    <s v="Продукция для животных"/>
    <s v="Аксессуары и игрушки"/>
    <s v="Товары для кормления кошек"/>
    <s v="Миски для кошек"/>
    <m/>
    <x v="0"/>
    <x v="0"/>
    <s v="да"/>
    <n v="1"/>
    <n v="1"/>
    <n v="2"/>
    <n v="2"/>
    <n v="1"/>
    <n v="3"/>
    <n v="1"/>
    <n v="0"/>
    <n v="1"/>
    <n v="58"/>
    <n v="209479.69000000003"/>
    <n v="483"/>
    <n v="6.7705676317566773E-4"/>
    <n v="8.7472744000057954E-4"/>
  </r>
  <r>
    <s v="HOUSEHOLD"/>
    <x v="4"/>
    <s v="Товары для дома"/>
    <s v="Сервировка стола"/>
    <s v="Столовая посуда"/>
    <s v="Бульонницы, супницы"/>
    <m/>
    <x v="1"/>
    <x v="0"/>
    <s v="да"/>
    <n v="0"/>
    <n v="0"/>
    <n v="0"/>
    <n v="2"/>
    <n v="0"/>
    <n v="2"/>
    <n v="2"/>
    <n v="0"/>
    <n v="2"/>
    <n v="27"/>
    <n v="92034.800000000017"/>
    <n v="711"/>
    <n v="2.9746455986983723E-4"/>
    <n v="1.2876422563983685E-3"/>
  </r>
  <r>
    <s v="HOBBIES&amp;SCHOOL"/>
    <x v="1"/>
    <s v="Книги, хобби, канцелярия"/>
    <s v="Хобби"/>
    <s v="Товары для рисования"/>
    <s v="Акварельные краски"/>
    <m/>
    <x v="0"/>
    <x v="0"/>
    <s v="да"/>
    <n v="3"/>
    <n v="1"/>
    <n v="4"/>
    <n v="4"/>
    <n v="1"/>
    <n v="5"/>
    <n v="1"/>
    <n v="0"/>
    <n v="1"/>
    <n v="17"/>
    <n v="33194.959999999999"/>
    <n v="255"/>
    <n v="1.0728902726247953E-4"/>
    <n v="4.6181262360279042E-4"/>
  </r>
  <r>
    <s v="HOBBIES&amp;SCHOOL"/>
    <x v="1"/>
    <s v="Книги, хобби, канцелярия"/>
    <s v="Хобби"/>
    <s v="Товары для рисования"/>
    <s v="Карандаши чернографитные"/>
    <m/>
    <x v="0"/>
    <x v="0"/>
    <s v="да"/>
    <n v="3"/>
    <n v="1"/>
    <n v="4"/>
    <n v="4"/>
    <n v="1"/>
    <n v="5"/>
    <n v="1"/>
    <n v="0"/>
    <n v="1"/>
    <n v="11"/>
    <n v="16024.189999999999"/>
    <n v="130"/>
    <n v="5.1791589981405357E-5"/>
    <n v="2.3543388654259905E-4"/>
  </r>
  <r>
    <s v="HOBBIES&amp;SCHOOL"/>
    <x v="1"/>
    <s v="Книги, хобби, канцелярия"/>
    <s v="Канцелярия"/>
    <s v="Организация рабочего места"/>
    <s v="Корректирующие средства"/>
    <m/>
    <x v="0"/>
    <x v="0"/>
    <s v="да"/>
    <n v="1"/>
    <n v="1"/>
    <n v="2"/>
    <n v="2"/>
    <n v="1"/>
    <n v="3"/>
    <n v="1"/>
    <n v="0"/>
    <n v="1"/>
    <n v="15"/>
    <n v="24745.439999999999"/>
    <n v="152"/>
    <n v="7.9979436239177609E-5"/>
    <n v="2.7527654426519273E-4"/>
  </r>
  <r>
    <s v="HOUSEHOLD"/>
    <x v="4"/>
    <s v="Товары для дома"/>
    <s v="Сервировка стола"/>
    <s v="Столовая посуда"/>
    <s v="Креманки, икорницы, розетки, соусники, пиалы"/>
    <m/>
    <x v="1"/>
    <x v="0"/>
    <s v="да"/>
    <n v="0"/>
    <n v="0"/>
    <n v="0"/>
    <n v="0"/>
    <n v="0"/>
    <n v="0"/>
    <n v="0"/>
    <n v="0"/>
    <n v="0"/>
    <n v="9"/>
    <n v="89703.56"/>
    <n v="180"/>
    <n v="2.8992978736475257E-4"/>
    <n v="3.2598538136667559E-4"/>
  </r>
  <r>
    <s v="HOUSEHOLD"/>
    <x v="4"/>
    <s v="Товары для дома"/>
    <s v="Приготовление пищи"/>
    <s v="Кухонная утварь"/>
    <s v="Кухонные принадлежности прочие"/>
    <m/>
    <x v="1"/>
    <x v="1"/>
    <s v="да"/>
    <n v="1"/>
    <n v="0"/>
    <n v="1"/>
    <n v="3"/>
    <n v="0"/>
    <n v="3"/>
    <n v="2"/>
    <n v="0"/>
    <n v="2"/>
    <n v="40"/>
    <n v="87382.749999999985"/>
    <n v="350"/>
    <n v="2.8242872553605819E-4"/>
    <n v="6.3386046376853592E-4"/>
  </r>
  <r>
    <s v="FOODZOO"/>
    <x v="2"/>
    <s v="Детское питание"/>
    <s v="Немолочное детское питание"/>
    <s v="Смеси детские"/>
    <s v="Смеси детские"/>
    <m/>
    <x v="1"/>
    <x v="0"/>
    <s v="да"/>
    <n v="5"/>
    <n v="0"/>
    <n v="5"/>
    <n v="5"/>
    <n v="0"/>
    <n v="5"/>
    <n v="0"/>
    <n v="0"/>
    <n v="0"/>
    <n v="29"/>
    <n v="86786.29"/>
    <n v="198"/>
    <n v="2.8050091441048439E-4"/>
    <n v="3.5858391950334314E-4"/>
  </r>
  <r>
    <s v="HOUSEHOLD"/>
    <x v="4"/>
    <s v="Товары для дома"/>
    <s v="Хранение посуды и продуктов"/>
    <s v="Хранение продуктов"/>
    <s v="Банка для хранения"/>
    <m/>
    <x v="1"/>
    <x v="0"/>
    <s v="да"/>
    <n v="3"/>
    <n v="0"/>
    <n v="3"/>
    <n v="3"/>
    <n v="0"/>
    <n v="3"/>
    <n v="0"/>
    <n v="0"/>
    <n v="0"/>
    <n v="22"/>
    <n v="86039.640000000014"/>
    <n v="149"/>
    <n v="2.7808767600906659E-4"/>
    <n v="2.6984345457574816E-4"/>
  </r>
  <r>
    <s v="FOODZOO"/>
    <x v="2"/>
    <s v="Детская гигиена и уход"/>
    <s v="Детская гигиена"/>
    <s v="Одноразовые пеленки"/>
    <s v="Одноразовые пеленки"/>
    <m/>
    <x v="1"/>
    <x v="0"/>
    <s v="да"/>
    <n v="1"/>
    <n v="0"/>
    <n v="1"/>
    <n v="1"/>
    <n v="0"/>
    <n v="1"/>
    <n v="0"/>
    <n v="0"/>
    <n v="0"/>
    <n v="9"/>
    <n v="85950.82"/>
    <n v="240"/>
    <n v="2.7780060196525231E-4"/>
    <n v="4.3464717515556749E-4"/>
  </r>
  <r>
    <s v="HOUSEHOLD"/>
    <x v="4"/>
    <s v="Товары для дома"/>
    <s v="Порядок в доме и уборка"/>
    <s v="Веники, щетки и совки"/>
    <s v="Комплекты совков с веником, щеткой"/>
    <m/>
    <x v="0"/>
    <x v="0"/>
    <s v="да"/>
    <n v="1"/>
    <n v="0"/>
    <n v="1"/>
    <n v="2"/>
    <n v="0"/>
    <n v="2"/>
    <n v="1"/>
    <n v="0"/>
    <n v="1"/>
    <n v="10"/>
    <n v="304364.65999999997"/>
    <n v="363"/>
    <n v="9.8373332290429953E-4"/>
    <n v="6.5740385242279574E-4"/>
  </r>
  <r>
    <s v="HOUSEHOLD"/>
    <x v="4"/>
    <s v="Товары для дома"/>
    <s v="Товары для ванной комнаты"/>
    <s v="Аксессуары для ванной комнаты"/>
    <s v="Наборы для ванной комнаты"/>
    <m/>
    <x v="1"/>
    <x v="0"/>
    <s v="нет"/>
    <n v="0"/>
    <n v="0"/>
    <n v="0"/>
    <n v="0"/>
    <n v="0"/>
    <n v="0"/>
    <n v="0"/>
    <n v="0"/>
    <n v="0"/>
    <n v="25"/>
    <n v="85253.98"/>
    <n v="74"/>
    <n v="2.7554835386019096E-4"/>
    <n v="1.340162123396333E-4"/>
  </r>
  <r>
    <s v="HOUSEHOLD"/>
    <x v="4"/>
    <s v="Товары для дома"/>
    <s v="Хозяйственные товары"/>
    <s v="Товары для уборки"/>
    <s v="Салфетки, тряпки и губки для уборки"/>
    <m/>
    <x v="1"/>
    <x v="0"/>
    <s v="да"/>
    <n v="3"/>
    <n v="0"/>
    <n v="3"/>
    <n v="5"/>
    <n v="0"/>
    <n v="5"/>
    <n v="2"/>
    <n v="0"/>
    <n v="2"/>
    <n v="56"/>
    <n v="83899.279999999984"/>
    <n v="1456"/>
    <n v="2.7116984443489015E-4"/>
    <n v="2.6368595292771092E-3"/>
  </r>
  <r>
    <s v="HOUSEHOLD"/>
    <x v="4"/>
    <s v="Товары для дома"/>
    <s v="Сервировка стола"/>
    <s v="Столовые приборы"/>
    <s v="Вилки"/>
    <m/>
    <x v="1"/>
    <x v="0"/>
    <s v="да"/>
    <n v="0"/>
    <n v="0"/>
    <n v="0"/>
    <n v="5"/>
    <n v="0"/>
    <n v="5"/>
    <n v="5"/>
    <n v="0"/>
    <n v="5"/>
    <n v="12"/>
    <n v="79716.2"/>
    <n v="157"/>
    <n v="2.5764976234528584E-4"/>
    <n v="2.8433169374760041E-4"/>
  </r>
  <r>
    <s v="DIY"/>
    <x v="4"/>
    <s v="Строительство и ремонт"/>
    <s v="Инструменты"/>
    <s v="Оборудование"/>
    <s v="Оборудование"/>
    <m/>
    <x v="1"/>
    <x v="0"/>
    <s v="да"/>
    <n v="3"/>
    <n v="0"/>
    <n v="3"/>
    <n v="0"/>
    <n v="0"/>
    <n v="0"/>
    <n v="-3"/>
    <n v="0"/>
    <n v="-3"/>
    <n v="4"/>
    <n v="78580.479999999996"/>
    <n v="57"/>
    <n v="2.5397901551978754E-4"/>
    <n v="1.0322870409944728E-4"/>
  </r>
  <r>
    <s v="DIY"/>
    <x v="5"/>
    <s v="Компьютеры и аксессуары"/>
    <s v="IT/Office"/>
    <s v="Оргтехника"/>
    <s v="Чистящие средства для оргтехники"/>
    <m/>
    <x v="0"/>
    <x v="0"/>
    <s v="да"/>
    <n v="0"/>
    <n v="1"/>
    <n v="1"/>
    <n v="1"/>
    <n v="1"/>
    <n v="2"/>
    <n v="1"/>
    <n v="0"/>
    <n v="1"/>
    <n v="4"/>
    <n v="8058.52"/>
    <n v="41"/>
    <n v="2.6045844669649748E-5"/>
    <n v="7.4252225755742774E-5"/>
  </r>
  <r>
    <s v="FOODZOO"/>
    <x v="2"/>
    <s v="Продукция для животных"/>
    <s v="Наполнители и уход"/>
    <s v="Уход за собаками"/>
    <s v="Уход за шерстью для собак"/>
    <m/>
    <x v="0"/>
    <x v="0"/>
    <s v="да"/>
    <n v="0"/>
    <n v="1"/>
    <n v="1"/>
    <n v="1"/>
    <n v="1"/>
    <n v="2"/>
    <n v="1"/>
    <n v="0"/>
    <n v="1"/>
    <n v="12"/>
    <n v="39496.280000000006"/>
    <n v="106"/>
    <n v="1.2765544714277486E-4"/>
    <n v="1.9196916902704229E-4"/>
  </r>
  <r>
    <s v="BEAUTY&amp;HEALTH&amp; PHARMA"/>
    <x v="2"/>
    <s v="Уход"/>
    <s v="Загар (средства для загара)"/>
    <s v="Автозагары"/>
    <s v="Автозагары"/>
    <m/>
    <x v="0"/>
    <x v="1"/>
    <s v="да"/>
    <n v="0"/>
    <n v="1"/>
    <n v="1"/>
    <n v="1"/>
    <n v="1"/>
    <n v="2"/>
    <n v="1"/>
    <n v="0"/>
    <n v="1"/>
    <n v="10"/>
    <n v="21052.600000000002"/>
    <n v="36"/>
    <n v="6.8043852902551372E-5"/>
    <n v="6.519707627333512E-5"/>
  </r>
  <r>
    <s v="BEAUTY&amp;HEALTH&amp; PHARMA"/>
    <x v="2"/>
    <s v="Уход"/>
    <s v="Уход за кожей ног"/>
    <s v="Лечебный уход за кожей ног"/>
    <s v="Средства для стоп и ногтей"/>
    <m/>
    <x v="0"/>
    <x v="0"/>
    <s v="да"/>
    <n v="0"/>
    <n v="1"/>
    <n v="1"/>
    <n v="1"/>
    <n v="1"/>
    <n v="2"/>
    <n v="1"/>
    <n v="0"/>
    <n v="1"/>
    <n v="1"/>
    <n v="2249"/>
    <n v="4"/>
    <n v="7.2689655993957046E-6"/>
    <n v="7.2441195859261247E-6"/>
  </r>
  <r>
    <s v="FOODZOO"/>
    <x v="2"/>
    <s v="Продукция для животных"/>
    <s v="Наполнители и уход"/>
    <s v="Груминг для собак"/>
    <s v="Пуходерки для собак"/>
    <m/>
    <x v="0"/>
    <x v="0"/>
    <s v="да"/>
    <n v="0"/>
    <n v="1"/>
    <n v="1"/>
    <n v="1"/>
    <n v="1"/>
    <n v="2"/>
    <n v="1"/>
    <n v="0"/>
    <n v="1"/>
    <n v="5"/>
    <n v="2942.71"/>
    <n v="23"/>
    <n v="9.5110972694520831E-6"/>
    <n v="4.1653687619075214E-5"/>
  </r>
  <r>
    <s v="FOODZOO"/>
    <x v="2"/>
    <s v="Продукция для животных"/>
    <s v="Аксессуары и игрушки"/>
    <s v="Амуниция для кошек"/>
    <s v="Ошейники для кошек"/>
    <m/>
    <x v="0"/>
    <x v="0"/>
    <s v="да"/>
    <n v="0"/>
    <n v="1"/>
    <n v="1"/>
    <n v="1"/>
    <n v="1"/>
    <n v="2"/>
    <n v="1"/>
    <n v="0"/>
    <n v="1"/>
    <n v="4"/>
    <n v="6366.18"/>
    <n v="50"/>
    <n v="2.057605309895996E-5"/>
    <n v="9.0551494824076551E-5"/>
  </r>
  <r>
    <s v="FOODZOO"/>
    <x v="2"/>
    <s v="Продукция для животных"/>
    <s v="Аксессуары и игрушки"/>
    <s v="Игрушки для собак"/>
    <s v="Игрушки с канатом"/>
    <m/>
    <x v="0"/>
    <x v="0"/>
    <s v="да"/>
    <n v="0"/>
    <n v="1"/>
    <n v="1"/>
    <n v="1"/>
    <n v="1"/>
    <n v="2"/>
    <n v="1"/>
    <n v="0"/>
    <n v="1"/>
    <n v="14"/>
    <n v="11303.08"/>
    <n v="168"/>
    <n v="3.653254765994558E-5"/>
    <n v="3.0425302260889722E-4"/>
  </r>
  <r>
    <s v="HOBBIES&amp;SCHOOL"/>
    <x v="1"/>
    <s v="Книги, хобби, канцелярия"/>
    <s v="Канцелярия"/>
    <s v="Организация рабочего места"/>
    <s v="Степлеры"/>
    <m/>
    <x v="0"/>
    <x v="0"/>
    <s v="да"/>
    <n v="0"/>
    <n v="0"/>
    <n v="0"/>
    <n v="1"/>
    <n v="0"/>
    <n v="1"/>
    <n v="1"/>
    <n v="0"/>
    <n v="1"/>
    <n v="2"/>
    <n v="794"/>
    <n v="6"/>
    <n v="2.566277761636367E-6"/>
    <n v="1.0866179378889186E-5"/>
  </r>
  <r>
    <s v="HOBBIES&amp;SCHOOL"/>
    <x v="1"/>
    <s v="Книги, хобби, канцелярия"/>
    <s v="Канцелярия"/>
    <s v="Принадлежности для черчения"/>
    <s v="Наборы чертежные"/>
    <m/>
    <x v="0"/>
    <x v="0"/>
    <s v="да"/>
    <n v="0"/>
    <n v="0"/>
    <n v="0"/>
    <n v="1"/>
    <n v="0"/>
    <n v="1"/>
    <n v="1"/>
    <n v="0"/>
    <n v="1"/>
    <n v="0"/>
    <n v="0"/>
    <n v="0"/>
    <n v="0"/>
    <n v="0"/>
  </r>
  <r>
    <s v="DIY"/>
    <x v="5"/>
    <s v="Смартфоны и гаджеты"/>
    <s v="Telecom"/>
    <s v="Операторы сотовой связи"/>
    <s v="SIM карты Мегафон"/>
    <m/>
    <x v="0"/>
    <x v="0"/>
    <s v="да"/>
    <n v="0"/>
    <n v="0"/>
    <n v="0"/>
    <n v="1"/>
    <n v="0"/>
    <n v="1"/>
    <n v="1"/>
    <n v="0"/>
    <n v="1"/>
    <n v="0"/>
    <n v="0"/>
    <n v="0"/>
    <n v="0"/>
    <n v="0"/>
  </r>
  <r>
    <s v="FOODZOO"/>
    <x v="2"/>
    <s v="Продукция для животных"/>
    <s v="Аксессуары и игрушки"/>
    <s v="Лежаки и домики для кошек"/>
    <s v="Лежаки для кошек"/>
    <m/>
    <x v="0"/>
    <x v="0"/>
    <s v="да"/>
    <n v="0"/>
    <n v="1"/>
    <n v="1"/>
    <n v="1"/>
    <n v="1"/>
    <n v="2"/>
    <n v="1"/>
    <n v="0"/>
    <n v="1"/>
    <n v="10"/>
    <n v="14693.29"/>
    <n v="18"/>
    <n v="4.7490004247196501E-5"/>
    <n v="3.259853813666756E-5"/>
  </r>
  <r>
    <s v="DIY"/>
    <x v="5"/>
    <s v="Бытовая техника и Электроника"/>
    <s v="Малая бытовая техника"/>
    <s v="Техника для приготовления кофе"/>
    <s v="Кофемолка"/>
    <m/>
    <x v="0"/>
    <x v="0"/>
    <s v="да"/>
    <n v="0"/>
    <n v="0"/>
    <n v="0"/>
    <n v="1"/>
    <n v="0"/>
    <n v="1"/>
    <n v="1"/>
    <n v="0"/>
    <n v="1"/>
    <n v="12"/>
    <n v="81845.23"/>
    <n v="51"/>
    <n v="2.64530974363997E-4"/>
    <n v="9.2362524720558082E-5"/>
  </r>
  <r>
    <s v="DIY"/>
    <x v="5"/>
    <s v="Смартфоны и гаджеты"/>
    <s v="Telecom"/>
    <s v="Операторы сотовой связи"/>
    <s v="SIM карты МТС"/>
    <m/>
    <x v="0"/>
    <x v="0"/>
    <s v="да"/>
    <n v="0"/>
    <n v="0"/>
    <n v="0"/>
    <n v="1"/>
    <n v="0"/>
    <n v="1"/>
    <n v="1"/>
    <n v="0"/>
    <n v="1"/>
    <n v="0"/>
    <n v="0"/>
    <n v="0"/>
    <n v="0"/>
    <n v="0"/>
  </r>
  <r>
    <s v="DIY"/>
    <x v="5"/>
    <s v="Компьютеры и аксессуары"/>
    <s v="IT/Office"/>
    <s v="Офисная периферия"/>
    <s v="Коврик для мыши"/>
    <m/>
    <x v="0"/>
    <x v="1"/>
    <s v="да"/>
    <n v="0"/>
    <n v="0"/>
    <n v="0"/>
    <n v="1"/>
    <n v="0"/>
    <n v="1"/>
    <n v="1"/>
    <n v="0"/>
    <n v="1"/>
    <n v="7"/>
    <n v="15869.920000000002"/>
    <n v="25"/>
    <n v="5.1292975787088442E-5"/>
    <n v="4.5275747412038275E-5"/>
  </r>
  <r>
    <s v="TOYS"/>
    <x v="3"/>
    <s v="Обувь"/>
    <s v="Уход и аксессуары для обуви"/>
    <s v="Аксессуары для обуви"/>
    <s v="Стельки"/>
    <m/>
    <x v="0"/>
    <x v="1"/>
    <s v="нет"/>
    <n v="0"/>
    <n v="0"/>
    <n v="0"/>
    <n v="1"/>
    <n v="0"/>
    <n v="1"/>
    <n v="1"/>
    <n v="0"/>
    <n v="1"/>
    <n v="0"/>
    <n v="0"/>
    <n v="0"/>
    <n v="0"/>
    <n v="0"/>
  </r>
  <r>
    <s v="TOYS"/>
    <x v="1"/>
    <s v="Детские товары"/>
    <s v="Игры и игрушки"/>
    <s v="Настольные игры детские"/>
    <s v="Настольные игры для компании"/>
    <m/>
    <x v="0"/>
    <x v="1"/>
    <s v="да"/>
    <n v="0"/>
    <n v="0"/>
    <n v="0"/>
    <n v="1"/>
    <n v="0"/>
    <n v="1"/>
    <n v="1"/>
    <n v="0"/>
    <n v="1"/>
    <n v="4"/>
    <n v="17583.95"/>
    <n v="13"/>
    <n v="5.6832871343483376E-5"/>
    <n v="2.3543388654259903E-5"/>
  </r>
  <r>
    <s v="HOBBIES&amp;SCHOOL"/>
    <x v="1"/>
    <s v="Книги, хобби, канцелярия"/>
    <s v="Канцелярия"/>
    <s v="Демонстрационное оборудование"/>
    <s v="Бейджики, шнурки, рулетки"/>
    <m/>
    <x v="0"/>
    <x v="0"/>
    <s v="да"/>
    <n v="0"/>
    <n v="0"/>
    <n v="0"/>
    <n v="1"/>
    <n v="0"/>
    <n v="1"/>
    <n v="1"/>
    <n v="0"/>
    <n v="1"/>
    <n v="35"/>
    <n v="52744.710000000006"/>
    <n v="185"/>
    <n v="1.7047553692312259E-4"/>
    <n v="3.3504053084908327E-4"/>
  </r>
  <r>
    <s v="HOBBIES&amp;SCHOOL"/>
    <x v="1"/>
    <s v="Книги, хобби, канцелярия"/>
    <s v="Канцелярия"/>
    <s v="Организация рабочего места"/>
    <s v="Обложки для книг и тетрадей"/>
    <m/>
    <x v="0"/>
    <x v="1"/>
    <s v="да"/>
    <n v="0"/>
    <n v="0"/>
    <n v="0"/>
    <n v="1"/>
    <n v="0"/>
    <n v="1"/>
    <n v="1"/>
    <n v="0"/>
    <n v="1"/>
    <n v="1"/>
    <n v="3594.16"/>
    <n v="38"/>
    <n v="1.1616640906502474E-5"/>
    <n v="6.8819136066298182E-5"/>
  </r>
  <r>
    <s v="HOBBIES&amp;SCHOOL"/>
    <x v="1"/>
    <s v="Книги, хобби, канцелярия"/>
    <s v="Канцелярия"/>
    <s v="Организация рабочего места"/>
    <s v="Закладки для книг"/>
    <m/>
    <x v="0"/>
    <x v="0"/>
    <s v="да"/>
    <n v="0"/>
    <n v="0"/>
    <n v="0"/>
    <n v="1"/>
    <n v="0"/>
    <n v="1"/>
    <n v="1"/>
    <n v="0"/>
    <n v="1"/>
    <n v="15"/>
    <n v="16926.840000000004"/>
    <n v="144"/>
    <n v="5.4709034089139715E-5"/>
    <n v="2.6078830509334048E-4"/>
  </r>
  <r>
    <s v="DIY"/>
    <x v="5"/>
    <s v="Бытовая техника и Электроника"/>
    <s v="Малая бытовая техника"/>
    <s v="Техника для дома"/>
    <s v="Аксессуары для утюгов и парогенераторов"/>
    <m/>
    <x v="0"/>
    <x v="0"/>
    <s v="да"/>
    <n v="0"/>
    <n v="0"/>
    <n v="0"/>
    <n v="1"/>
    <n v="0"/>
    <n v="1"/>
    <n v="1"/>
    <n v="0"/>
    <n v="1"/>
    <n v="0"/>
    <n v="0"/>
    <n v="0"/>
    <n v="0"/>
    <n v="0"/>
  </r>
  <r>
    <s v="FOODZOO"/>
    <x v="2"/>
    <s v="Гигиена"/>
    <s v="Мыло туалетное"/>
    <s v="Мыло кусковое"/>
    <s v="Кусковое декоративное"/>
    <m/>
    <x v="1"/>
    <x v="0"/>
    <s v="да"/>
    <n v="6"/>
    <n v="0"/>
    <n v="6"/>
    <n v="6"/>
    <n v="0"/>
    <n v="6"/>
    <n v="0"/>
    <n v="0"/>
    <n v="0"/>
    <n v="17"/>
    <n v="78407.510000000009"/>
    <n v="716"/>
    <n v="2.5341996128246992E-4"/>
    <n v="1.2966974058807763E-3"/>
  </r>
  <r>
    <s v="HOUSEHOLD"/>
    <x v="4"/>
    <s v="Товары для дома"/>
    <s v="Декор для дома и ароматы"/>
    <s v="Диффузоры, масла, духи, свечи"/>
    <s v="Ароматическая свеча"/>
    <m/>
    <x v="1"/>
    <x v="1"/>
    <s v="да"/>
    <n v="0"/>
    <n v="0"/>
    <n v="0"/>
    <n v="7"/>
    <n v="0"/>
    <n v="7"/>
    <n v="7"/>
    <n v="0"/>
    <n v="7"/>
    <n v="23"/>
    <n v="77935.999999999985"/>
    <n v="171"/>
    <n v="2.518959995351283E-4"/>
    <n v="3.0968611229834184E-4"/>
  </r>
  <r>
    <s v="FOODZOO"/>
    <x v="2"/>
    <s v="Бытовая химия"/>
    <s v="Средства для уборки"/>
    <s v="Чистящие средства"/>
    <s v="Чистящие средства для мытья стекол"/>
    <m/>
    <x v="1"/>
    <x v="0"/>
    <s v="да"/>
    <n v="1"/>
    <n v="0"/>
    <n v="1"/>
    <n v="1"/>
    <n v="0"/>
    <n v="1"/>
    <n v="0"/>
    <n v="0"/>
    <n v="0"/>
    <n v="7"/>
    <n v="68760.75"/>
    <n v="344"/>
    <n v="2.2224078538846074E-4"/>
    <n v="6.2299428438964668E-4"/>
  </r>
  <r>
    <s v="BEAUTY&amp;HEALTH&amp; PHARMA"/>
    <x v="2"/>
    <s v="Гигиена"/>
    <s v="Первая помощь"/>
    <s v="Уход за ранами"/>
    <s v="Пластыри"/>
    <m/>
    <x v="1"/>
    <x v="0"/>
    <s v="да"/>
    <n v="0"/>
    <n v="0"/>
    <n v="0"/>
    <n v="0"/>
    <n v="0"/>
    <n v="0"/>
    <n v="0"/>
    <n v="0"/>
    <n v="0"/>
    <n v="25"/>
    <n v="67413.78"/>
    <n v="948"/>
    <n v="2.1788726000232555E-4"/>
    <n v="1.7168563418644915E-3"/>
  </r>
  <r>
    <s v="HOUSEHOLD"/>
    <x v="4"/>
    <s v="Товары для дома"/>
    <s v="Текстиль для спальни"/>
    <s v="Матрасы и наматрасники"/>
    <s v="Наматрасник"/>
    <m/>
    <x v="1"/>
    <x v="0"/>
    <s v="да"/>
    <n v="2"/>
    <n v="0"/>
    <n v="2"/>
    <n v="3"/>
    <n v="0"/>
    <n v="3"/>
    <n v="1"/>
    <n v="0"/>
    <n v="1"/>
    <n v="13"/>
    <n v="64854.260000000009"/>
    <n v="66"/>
    <n v="2.0961466648033124E-4"/>
    <n v="1.1952797316778106E-4"/>
  </r>
  <r>
    <s v="HOUSEHOLD"/>
    <x v="4"/>
    <s v="Товары для дома"/>
    <s v="Приготовление пищи"/>
    <s v="Крышки и ручки для посуды"/>
    <s v="Крышка для посуды"/>
    <m/>
    <x v="1"/>
    <x v="0"/>
    <s v="нет"/>
    <n v="0"/>
    <n v="0"/>
    <n v="0"/>
    <n v="2"/>
    <n v="0"/>
    <n v="2"/>
    <n v="2"/>
    <n v="0"/>
    <n v="2"/>
    <n v="25"/>
    <n v="63693.469999999994"/>
    <n v="60"/>
    <n v="2.0586289121215753E-4"/>
    <n v="1.0866179378889187E-4"/>
  </r>
  <r>
    <s v="HOUSEHOLD"/>
    <x v="4"/>
    <s v="Товары для дома"/>
    <s v="Приготовление напитков"/>
    <s v="Приготовление чая и кофе"/>
    <s v="Турка"/>
    <m/>
    <x v="1"/>
    <x v="0"/>
    <s v="да"/>
    <n v="0"/>
    <n v="0"/>
    <n v="0"/>
    <n v="3"/>
    <n v="0"/>
    <n v="3"/>
    <n v="3"/>
    <n v="0"/>
    <n v="3"/>
    <n v="7"/>
    <n v="62529.16"/>
    <n v="66"/>
    <n v="2.0209973899471318E-4"/>
    <n v="1.1952797316778106E-4"/>
  </r>
  <r>
    <s v="DIY"/>
    <x v="4"/>
    <s v="Мебель"/>
    <s v="Корпусная мебель"/>
    <s v="Малые формы"/>
    <s v="Полки настенные"/>
    <m/>
    <x v="1"/>
    <x v="0"/>
    <s v="да"/>
    <n v="0"/>
    <n v="0"/>
    <n v="0"/>
    <n v="0"/>
    <n v="0"/>
    <n v="0"/>
    <n v="0"/>
    <n v="0"/>
    <n v="0"/>
    <n v="10"/>
    <n v="61748.680000000008"/>
    <n v="72"/>
    <n v="1.9957715906095759E-4"/>
    <n v="1.3039415254667024E-4"/>
  </r>
  <r>
    <s v="HOBBIES&amp;SCHOOL"/>
    <x v="4"/>
    <s v="Строительство и ремонт"/>
    <s v="Лакокрасочные материалы"/>
    <s v="Краски"/>
    <s v="Краски для внутренних работ"/>
    <m/>
    <x v="1"/>
    <x v="0"/>
    <s v="да"/>
    <n v="19"/>
    <n v="0"/>
    <n v="19"/>
    <n v="0"/>
    <n v="0"/>
    <n v="0"/>
    <n v="-19"/>
    <n v="0"/>
    <n v="-19"/>
    <n v="47"/>
    <n v="61581.270000000004"/>
    <n v="486"/>
    <n v="1.9903607523214707E-4"/>
    <n v="8.801605296900241E-4"/>
  </r>
  <r>
    <s v="DIY"/>
    <x v="5"/>
    <s v="Бытовая техника и Электроника"/>
    <s v="Малая бытовая техника"/>
    <s v="Техника для красоты и здоровья"/>
    <s v="Выпрямитель волос"/>
    <m/>
    <x v="0"/>
    <x v="0"/>
    <s v="да"/>
    <n v="0"/>
    <n v="0"/>
    <n v="0"/>
    <n v="1"/>
    <n v="0"/>
    <n v="1"/>
    <n v="1"/>
    <n v="0"/>
    <n v="1"/>
    <n v="13"/>
    <n v="65274.489999999991"/>
    <n v="62"/>
    <n v="2.1097288676216047E-4"/>
    <n v="1.1228385358185493E-4"/>
  </r>
  <r>
    <s v="TOYS"/>
    <x v="3"/>
    <s v="Одежда"/>
    <s v="Чулки, носки"/>
    <s v="Чулочно-носочные изделия для мужчин"/>
    <s v="Комплект носков для мужчин"/>
    <m/>
    <x v="0"/>
    <x v="1"/>
    <s v="да"/>
    <n v="0"/>
    <n v="0"/>
    <n v="0"/>
    <n v="1"/>
    <n v="0"/>
    <n v="1"/>
    <n v="1"/>
    <n v="0"/>
    <n v="1"/>
    <n v="27"/>
    <n v="47737.969999999987"/>
    <n v="373"/>
    <n v="1.5429331334592444E-4"/>
    <n v="6.755141513876111E-4"/>
  </r>
  <r>
    <s v="DIY"/>
    <x v="5"/>
    <s v="Бытовая техника и Электроника"/>
    <s v="Малая бытовая техника"/>
    <s v="Техника для приготовления кофе"/>
    <s v="Аксессуары для приготовления кофе"/>
    <m/>
    <x v="0"/>
    <x v="0"/>
    <s v="да"/>
    <n v="0"/>
    <n v="0"/>
    <n v="0"/>
    <n v="1"/>
    <n v="0"/>
    <n v="1"/>
    <n v="1"/>
    <n v="0"/>
    <n v="1"/>
    <n v="4"/>
    <n v="5254"/>
    <n v="7"/>
    <n v="1.6981389621709664E-5"/>
    <n v="1.2677209275370719E-5"/>
  </r>
  <r>
    <s v="DIY"/>
    <x v="4"/>
    <s v="Товары для дома"/>
    <s v="Освещение"/>
    <s v="Умный дом"/>
    <s v="Умная розетка"/>
    <m/>
    <x v="1"/>
    <x v="0"/>
    <s v="да"/>
    <n v="3"/>
    <n v="0"/>
    <n v="3"/>
    <n v="3"/>
    <n v="0"/>
    <n v="3"/>
    <n v="0"/>
    <n v="0"/>
    <n v="0"/>
    <n v="9"/>
    <n v="58235.18"/>
    <n v="55"/>
    <n v="1.882212183613236E-4"/>
    <n v="9.9606644306484218E-5"/>
  </r>
  <r>
    <s v="HOBBIES&amp;SCHOOL"/>
    <x v="1"/>
    <s v="Книги, хобби, канцелярия"/>
    <s v="Канцелярия"/>
    <s v="Организация рабочего места"/>
    <s v="Набор первоклассника"/>
    <m/>
    <x v="0"/>
    <x v="1"/>
    <s v="да"/>
    <n v="0"/>
    <n v="0"/>
    <n v="0"/>
    <n v="1"/>
    <n v="0"/>
    <n v="1"/>
    <n v="1"/>
    <n v="0"/>
    <n v="1"/>
    <n v="1"/>
    <n v="19847.93"/>
    <n v="43"/>
    <n v="6.4150253619036905E-5"/>
    <n v="7.7874285548705836E-5"/>
  </r>
  <r>
    <s v="HOBBIES&amp;SCHOOL"/>
    <x v="1"/>
    <s v="Книги, хобби, канцелярия"/>
    <s v="Подарки"/>
    <s v="Подарочная коробка"/>
    <s v="Подарочная коробка"/>
    <m/>
    <x v="0"/>
    <x v="0"/>
    <s v="да"/>
    <n v="0"/>
    <n v="0"/>
    <n v="0"/>
    <n v="1"/>
    <n v="0"/>
    <n v="1"/>
    <n v="1"/>
    <n v="0"/>
    <n v="1"/>
    <n v="6"/>
    <n v="1191"/>
    <n v="8"/>
    <n v="3.8494166424545509E-6"/>
    <n v="1.4488239171852249E-5"/>
  </r>
  <r>
    <s v="HOUSEHOLD"/>
    <x v="4"/>
    <s v="Товары для дома"/>
    <s v="Текстиль для спальни"/>
    <s v="Постельное белье"/>
    <s v="Простыня 1,5 сп"/>
    <m/>
    <x v="0"/>
    <x v="3"/>
    <s v="да"/>
    <n v="1"/>
    <n v="0"/>
    <n v="1"/>
    <n v="2"/>
    <n v="0"/>
    <n v="2"/>
    <n v="1"/>
    <n v="0"/>
    <n v="1"/>
    <n v="124"/>
    <n v="463025.65"/>
    <n v="989"/>
    <n v="1.4965395826980151E-3"/>
    <n v="1.7911085676202343E-3"/>
  </r>
  <r>
    <s v="BEAUTY&amp;HEALTH&amp; PHARMA"/>
    <x v="0"/>
    <s v="Парфюмерия и декоративная косметика"/>
    <s v="Декоративная косметика"/>
    <s v="Для бровей"/>
    <s v="Карандаши для бровей"/>
    <m/>
    <x v="0"/>
    <x v="0"/>
    <s v="да"/>
    <n v="1"/>
    <n v="1"/>
    <n v="2"/>
    <n v="3"/>
    <n v="0"/>
    <n v="3"/>
    <n v="2"/>
    <n v="-1"/>
    <n v="1"/>
    <n v="120"/>
    <n v="343466.70000000013"/>
    <n v="942"/>
    <n v="1.1101145517287531E-3"/>
    <n v="1.7059901624856023E-3"/>
  </r>
  <r>
    <s v="BEAUTY&amp;HEALTH&amp; PHARMA"/>
    <x v="0"/>
    <s v="Парфюмерия и декоративная косметика"/>
    <s v="Декоративная косметика"/>
    <s v="Для лица"/>
    <s v="Фиксатор макияжа"/>
    <m/>
    <x v="0"/>
    <x v="0"/>
    <s v="да"/>
    <n v="1"/>
    <n v="2"/>
    <n v="3"/>
    <n v="3"/>
    <n v="1"/>
    <n v="4"/>
    <n v="2"/>
    <n v="-1"/>
    <n v="1"/>
    <n v="11"/>
    <n v="76361.210000000006"/>
    <n v="123"/>
    <n v="2.4680613989249946E-4"/>
    <n v="2.2275667726722834E-4"/>
  </r>
  <r>
    <s v="HOBBIES&amp;SCHOOL"/>
    <x v="1"/>
    <s v="Книги, хобби, канцелярия"/>
    <s v="Канцелярия"/>
    <s v="Бумажная продукция"/>
    <s v="Ежедневники, планинги"/>
    <m/>
    <x v="0"/>
    <x v="0"/>
    <s v="да"/>
    <n v="1"/>
    <n v="1"/>
    <n v="2"/>
    <n v="3"/>
    <n v="0"/>
    <n v="3"/>
    <n v="2"/>
    <n v="-1"/>
    <n v="1"/>
    <n v="15"/>
    <n v="13743.76"/>
    <n v="41"/>
    <n v="4.4421039860538332E-5"/>
    <n v="7.4252225755742774E-5"/>
  </r>
  <r>
    <s v="BEAUTY&amp;HEALTH&amp; PHARMA"/>
    <x v="2"/>
    <s v="Уход"/>
    <s v="Уход за кожей ног"/>
    <s v="Спец. уход за кожей ног(скрабы, пилинги, ванночки)"/>
    <s v="Спец. уход за кожей ног(скрабы,пилинги,ванночки)"/>
    <m/>
    <x v="0"/>
    <x v="0"/>
    <s v="да"/>
    <n v="0"/>
    <n v="2"/>
    <n v="2"/>
    <n v="2"/>
    <n v="1"/>
    <n v="3"/>
    <n v="2"/>
    <n v="-1"/>
    <n v="1"/>
    <n v="7"/>
    <n v="34147.210000000006"/>
    <n v="70"/>
    <n v="1.1036678292811964E-4"/>
    <n v="1.2677209275370718E-4"/>
  </r>
  <r>
    <s v="TOYS"/>
    <x v="1"/>
    <s v="Детские товары"/>
    <s v="Игры и игрушки"/>
    <s v="Игрушки для мальчиков"/>
    <s v="Игрушечный транспорт"/>
    <m/>
    <x v="0"/>
    <x v="1"/>
    <s v="нет"/>
    <n v="0"/>
    <n v="1"/>
    <n v="1"/>
    <n v="2"/>
    <n v="0"/>
    <n v="2"/>
    <n v="2"/>
    <n v="-1"/>
    <n v="1"/>
    <n v="119"/>
    <n v="343974.18"/>
    <n v="499"/>
    <n v="1.1117547716764545E-3"/>
    <n v="9.0370391834428403E-4"/>
  </r>
  <r>
    <s v="DIY"/>
    <x v="5"/>
    <s v="Бытовая техника и Электроника"/>
    <s v="Малая бытовая техника"/>
    <s v="Техника для кухни"/>
    <s v="Соковыжималки"/>
    <m/>
    <x v="0"/>
    <x v="0"/>
    <s v="да"/>
    <n v="0"/>
    <n v="1"/>
    <n v="1"/>
    <n v="2"/>
    <n v="0"/>
    <n v="2"/>
    <n v="2"/>
    <n v="-1"/>
    <n v="1"/>
    <n v="2"/>
    <n v="8404"/>
    <n v="6"/>
    <n v="2.7162466383869053E-5"/>
    <n v="1.0866179378889186E-5"/>
  </r>
  <r>
    <s v="BEAUTY&amp;HEALTH&amp; PHARMA"/>
    <x v="2"/>
    <s v="Уход"/>
    <s v="Уход за проблемной кожей"/>
    <s v="Уход (лечебный)"/>
    <s v="Уход (лечебный)"/>
    <m/>
    <x v="0"/>
    <x v="0"/>
    <s v="да"/>
    <n v="0"/>
    <n v="1"/>
    <n v="1"/>
    <n v="2"/>
    <n v="0"/>
    <n v="2"/>
    <n v="2"/>
    <n v="-1"/>
    <n v="1"/>
    <n v="13"/>
    <n v="28897.74"/>
    <n v="80"/>
    <n v="9.3400034664420294E-5"/>
    <n v="1.4488239171852249E-4"/>
  </r>
  <r>
    <s v="BEAUTY&amp;HEALTH&amp; PHARMA"/>
    <x v="2"/>
    <s v="Уход"/>
    <s v="Уход за кожей губ"/>
    <s v="Увлажнение и питание губ"/>
    <s v="Маски и патчи для губ"/>
    <m/>
    <x v="0"/>
    <x v="1"/>
    <s v="да"/>
    <n v="0"/>
    <n v="1"/>
    <n v="1"/>
    <n v="2"/>
    <n v="0"/>
    <n v="2"/>
    <n v="2"/>
    <n v="-1"/>
    <n v="1"/>
    <n v="4"/>
    <n v="10082"/>
    <n v="18"/>
    <n v="3.258590981463206E-5"/>
    <n v="3.259853813666756E-5"/>
  </r>
  <r>
    <s v="BEAUTY&amp;HEALTH&amp; PHARMA"/>
    <x v="0"/>
    <s v="Парфюмерия и декоративная косметика"/>
    <s v="Декоративная косметика"/>
    <s v="Аксессуары"/>
    <s v="Матирующие салфетки"/>
    <m/>
    <x v="0"/>
    <x v="0"/>
    <s v="да"/>
    <n v="0"/>
    <n v="2"/>
    <n v="2"/>
    <n v="2"/>
    <n v="1"/>
    <n v="3"/>
    <n v="2"/>
    <n v="-1"/>
    <n v="1"/>
    <n v="17"/>
    <n v="51833.31"/>
    <n v="174"/>
    <n v="1.6752981204660444E-4"/>
    <n v="3.151192019877864E-4"/>
  </r>
  <r>
    <s v="TOYS"/>
    <x v="1"/>
    <s v="Детские товары"/>
    <s v="Игры и игрушки"/>
    <s v="Спорт и активный отдых детей"/>
    <s v="Развлечения на воде для детей"/>
    <m/>
    <x v="0"/>
    <x v="1"/>
    <s v="нет"/>
    <n v="0"/>
    <n v="1"/>
    <n v="1"/>
    <n v="2"/>
    <n v="0"/>
    <n v="2"/>
    <n v="2"/>
    <n v="-1"/>
    <n v="1"/>
    <n v="0"/>
    <n v="0"/>
    <n v="0"/>
    <n v="0"/>
    <n v="0"/>
  </r>
  <r>
    <s v="BEAUTY&amp;HEALTH&amp; PHARMA"/>
    <x v="2"/>
    <s v="Уход"/>
    <s v="Уход за кожей лица"/>
    <s v="Маски для лица"/>
    <s v="Маски-тубы"/>
    <m/>
    <x v="0"/>
    <x v="1"/>
    <s v="да"/>
    <n v="0"/>
    <n v="1"/>
    <n v="1"/>
    <n v="2"/>
    <n v="0"/>
    <n v="2"/>
    <n v="2"/>
    <n v="-1"/>
    <n v="1"/>
    <n v="44"/>
    <n v="95038.810000000012"/>
    <n v="336"/>
    <n v="3.0717378412516882E-4"/>
    <n v="6.0850604521779444E-4"/>
  </r>
  <r>
    <s v="FOODZOO"/>
    <x v="2"/>
    <s v="Продукция для животных"/>
    <s v="Аксессуары и игрушки"/>
    <s v="Амуниция для собак"/>
    <s v="Поводки и шлейки"/>
    <m/>
    <x v="0"/>
    <x v="0"/>
    <s v="да"/>
    <n v="0"/>
    <n v="1"/>
    <n v="1"/>
    <n v="2"/>
    <n v="0"/>
    <n v="2"/>
    <n v="2"/>
    <n v="-1"/>
    <n v="1"/>
    <n v="187"/>
    <n v="353311.00999999995"/>
    <n v="1744"/>
    <n v="1.1419322265797027E-3"/>
    <n v="3.1584361394637901E-3"/>
  </r>
  <r>
    <s v="FOODZOO"/>
    <x v="2"/>
    <s v="Продукция для животных"/>
    <s v="Наполнители и уход"/>
    <s v="Туалеты и пеленки"/>
    <s v="Гигиенические пакеты для выгула собак"/>
    <m/>
    <x v="0"/>
    <x v="0"/>
    <s v="да"/>
    <n v="0"/>
    <n v="2"/>
    <n v="2"/>
    <n v="2"/>
    <n v="1"/>
    <n v="3"/>
    <n v="2"/>
    <n v="-1"/>
    <n v="1"/>
    <n v="21"/>
    <n v="36570.060000000012"/>
    <n v="297"/>
    <n v="1.1819764700215073E-4"/>
    <n v="5.3787587925501477E-4"/>
  </r>
  <r>
    <s v="TOYS"/>
    <x v="1"/>
    <s v="Детские товары"/>
    <s v="Игры и игрушки"/>
    <s v="Настольные игры детские"/>
    <s v="Пазлы настольные"/>
    <m/>
    <x v="0"/>
    <x v="0"/>
    <s v="да"/>
    <n v="0"/>
    <n v="1"/>
    <n v="1"/>
    <n v="2"/>
    <n v="0"/>
    <n v="2"/>
    <n v="2"/>
    <n v="-1"/>
    <n v="1"/>
    <n v="5"/>
    <n v="4494.8500000000004"/>
    <n v="40"/>
    <n v="1.4527750122029252E-5"/>
    <n v="7.2441195859261243E-5"/>
  </r>
  <r>
    <s v="BEAUTY&amp;HEALTH&amp; PHARMA"/>
    <x v="2"/>
    <s v="Уход"/>
    <s v="Уход за кожей губ"/>
    <s v="Увлажнение и питание губ"/>
    <s v="Скрабы для губ"/>
    <m/>
    <x v="0"/>
    <x v="1"/>
    <s v="да"/>
    <n v="0"/>
    <n v="1"/>
    <n v="1"/>
    <n v="2"/>
    <n v="0"/>
    <n v="2"/>
    <n v="2"/>
    <n v="-1"/>
    <n v="1"/>
    <n v="6"/>
    <n v="30209.35"/>
    <n v="145"/>
    <n v="9.7639273423790409E-5"/>
    <n v="2.6259933498982199E-4"/>
  </r>
  <r>
    <s v="BEAUTY&amp;HEALTH&amp; PHARMA"/>
    <x v="2"/>
    <s v="Уход"/>
    <s v="Уход за кожей лица"/>
    <s v="Маски для лица"/>
    <s v="Маски-саше кремовые"/>
    <m/>
    <x v="0"/>
    <x v="1"/>
    <s v="да"/>
    <n v="0"/>
    <n v="1"/>
    <n v="1"/>
    <n v="2"/>
    <n v="0"/>
    <n v="2"/>
    <n v="2"/>
    <n v="-1"/>
    <n v="1"/>
    <n v="7"/>
    <n v="55471.689999999995"/>
    <n v="97"/>
    <n v="1.7928937587832045E-4"/>
    <n v="1.7566989995870851E-4"/>
  </r>
  <r>
    <s v="BEAUTY&amp;HEALTH&amp; PHARMA"/>
    <x v="0"/>
    <s v="Парфюмерия и декоративная косметика"/>
    <s v="Декоративная косметика"/>
    <s v="Аксессуары"/>
    <s v="Наборы кистей"/>
    <m/>
    <x v="0"/>
    <x v="0"/>
    <s v="да"/>
    <n v="0"/>
    <n v="2"/>
    <n v="2"/>
    <n v="2"/>
    <n v="1"/>
    <n v="3"/>
    <n v="2"/>
    <n v="-1"/>
    <n v="1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Кисти для лица"/>
    <m/>
    <x v="0"/>
    <x v="0"/>
    <s v="да"/>
    <n v="0"/>
    <n v="2"/>
    <n v="2"/>
    <n v="2"/>
    <n v="1"/>
    <n v="3"/>
    <n v="2"/>
    <n v="-1"/>
    <n v="1"/>
    <n v="91"/>
    <n v="637979.75999999989"/>
    <n v="840"/>
    <n v="2.062006637861595E-3"/>
    <n v="1.521265113044486E-3"/>
  </r>
  <r>
    <s v="DIY"/>
    <x v="5"/>
    <s v="Бытовая техника и Электроника"/>
    <s v="Малая бытовая техника"/>
    <s v="Техника для красоты и здоровья"/>
    <s v="Электрощипцы"/>
    <m/>
    <x v="0"/>
    <x v="0"/>
    <s v="да"/>
    <n v="0"/>
    <n v="1"/>
    <n v="1"/>
    <n v="2"/>
    <n v="0"/>
    <n v="2"/>
    <n v="2"/>
    <n v="-1"/>
    <n v="1"/>
    <n v="9"/>
    <n v="97798.06"/>
    <n v="115"/>
    <n v="3.1609192255564121E-4"/>
    <n v="2.0826843809537609E-4"/>
  </r>
  <r>
    <s v="FOODZOO"/>
    <x v="2"/>
    <s v="Продукция для животных"/>
    <s v="Аксессуары и игрушки"/>
    <s v="Игрушки для собак"/>
    <s v="Для грызения"/>
    <m/>
    <x v="0"/>
    <x v="0"/>
    <s v="да"/>
    <n v="0"/>
    <n v="4"/>
    <n v="4"/>
    <n v="3"/>
    <n v="2"/>
    <n v="5"/>
    <n v="3"/>
    <n v="-2"/>
    <n v="1"/>
    <n v="322"/>
    <n v="655860.2300000008"/>
    <n v="2632"/>
    <n v="2.1197978878976257E-3"/>
    <n v="4.76663068753939E-3"/>
  </r>
  <r>
    <s v="BEAUTY&amp;HEALTH&amp; PHARMA"/>
    <x v="0"/>
    <s v="Парфюмерия и декоративная косметика"/>
    <s v="Декоративная косметика"/>
    <s v="Аксессуары"/>
    <s v="Спонжи"/>
    <m/>
    <x v="0"/>
    <x v="0"/>
    <s v="да"/>
    <n v="1"/>
    <n v="4"/>
    <n v="5"/>
    <n v="5"/>
    <n v="1"/>
    <n v="6"/>
    <n v="4"/>
    <n v="-3"/>
    <n v="1"/>
    <n v="60"/>
    <n v="194826.55"/>
    <n v="1162"/>
    <n v="6.2969652725609036E-4"/>
    <n v="2.104416739711539E-3"/>
  </r>
  <r>
    <s v="HOBBIES&amp;SCHOOL"/>
    <x v="1"/>
    <s v="Книги, хобби, канцелярия"/>
    <s v="Канцелярия"/>
    <s v="Организация рабочего места"/>
    <s v="Ластики"/>
    <m/>
    <x v="0"/>
    <x v="0"/>
    <s v="да"/>
    <n v="0"/>
    <n v="5"/>
    <n v="5"/>
    <n v="5"/>
    <n v="1"/>
    <n v="6"/>
    <n v="5"/>
    <n v="-4"/>
    <n v="1"/>
    <n v="11"/>
    <n v="9354.57"/>
    <n v="111"/>
    <n v="3.0234792141902659E-5"/>
    <n v="2.0102431850944997E-4"/>
  </r>
  <r>
    <s v="BEAUTY&amp;HEALTH&amp; PHARMA"/>
    <x v="2"/>
    <s v="Уход"/>
    <s v="Уход за кожей лица"/>
    <s v="Очищение"/>
    <s v="Умывание"/>
    <m/>
    <x v="0"/>
    <x v="1"/>
    <s v="да"/>
    <n v="23"/>
    <n v="2"/>
    <n v="25"/>
    <n v="22"/>
    <n v="3"/>
    <n v="25"/>
    <n v="-1"/>
    <n v="1"/>
    <n v="0"/>
    <n v="551"/>
    <n v="2808079.2400000012"/>
    <n v="6521"/>
    <n v="9.0759588243384814E-3"/>
    <n v="1.1809725954956064E-2"/>
  </r>
  <r>
    <s v="BEAUTY&amp;HEALTH&amp; PHARMA"/>
    <x v="2"/>
    <s v="Уход"/>
    <s v="Средства по уходу за волосами"/>
    <s v="Лечение волос"/>
    <s v="Лечение волос"/>
    <m/>
    <x v="0"/>
    <x v="0"/>
    <s v="да"/>
    <n v="13"/>
    <n v="1"/>
    <n v="14"/>
    <n v="12"/>
    <n v="2"/>
    <n v="14"/>
    <n v="-1"/>
    <n v="1"/>
    <n v="0"/>
    <n v="499"/>
    <n v="2609887.7900000019"/>
    <n v="4902"/>
    <n v="8.4353866446389043E-3"/>
    <n v="8.8776685525524656E-3"/>
  </r>
  <r>
    <s v="BEAUTY&amp;HEALTH&amp; PHARMA"/>
    <x v="2"/>
    <s v="Уход"/>
    <s v="Загар (средства для загара)"/>
    <s v="Средства для загара"/>
    <s v="Защита от солнца"/>
    <m/>
    <x v="0"/>
    <x v="4"/>
    <s v="да"/>
    <n v="4"/>
    <n v="0"/>
    <n v="4"/>
    <n v="3"/>
    <n v="1"/>
    <n v="4"/>
    <n v="-1"/>
    <n v="1"/>
    <n v="0"/>
    <n v="130"/>
    <n v="944481.96000000008"/>
    <n v="1380"/>
    <n v="3.0526486778523036E-3"/>
    <n v="2.499221257144513E-3"/>
  </r>
  <r>
    <s v="BEAUTY&amp;HEALTH&amp; PHARMA"/>
    <x v="0"/>
    <s v="Бады и Витамины"/>
    <s v="Бады"/>
    <s v="Бады для почек, печени"/>
    <s v="Бады для почек, печени"/>
    <m/>
    <x v="0"/>
    <x v="0"/>
    <s v="да"/>
    <n v="1"/>
    <n v="0"/>
    <n v="1"/>
    <n v="1"/>
    <n v="0"/>
    <n v="1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сердца, сосудов"/>
    <s v="Бады для сердца, сосудов"/>
    <m/>
    <x v="0"/>
    <x v="0"/>
    <s v="да"/>
    <n v="1"/>
    <n v="0"/>
    <n v="1"/>
    <n v="1"/>
    <n v="0"/>
    <n v="1"/>
    <n v="0"/>
    <n v="0"/>
    <n v="0"/>
    <n v="0"/>
    <n v="0"/>
    <n v="0"/>
    <n v="0"/>
    <n v="0"/>
  </r>
  <r>
    <s v="BEAUTY&amp;HEALTH&amp; PHARMA"/>
    <x v="0"/>
    <s v="Бады и Витамины"/>
    <s v="Витамины"/>
    <s v="Леденцы, пастилки"/>
    <s v="Леденцы, пастилки"/>
    <m/>
    <x v="0"/>
    <x v="0"/>
    <s v="да"/>
    <n v="3"/>
    <n v="0"/>
    <n v="3"/>
    <n v="3"/>
    <n v="0"/>
    <n v="3"/>
    <n v="0"/>
    <n v="0"/>
    <n v="0"/>
    <n v="0"/>
    <n v="0"/>
    <n v="0"/>
    <n v="0"/>
    <n v="0"/>
  </r>
  <r>
    <s v="TOYS"/>
    <x v="2"/>
    <s v="Детская гигиена и уход"/>
    <s v="Уход за детьми"/>
    <s v="Средства для купания детей"/>
    <s v="Гель для купания детский"/>
    <m/>
    <x v="1"/>
    <x v="0"/>
    <s v="да"/>
    <n v="10"/>
    <n v="0"/>
    <n v="10"/>
    <n v="10"/>
    <n v="0"/>
    <n v="10"/>
    <n v="0"/>
    <n v="0"/>
    <n v="0"/>
    <n v="22"/>
    <n v="56443.43"/>
    <n v="211"/>
    <n v="1.824301249363715E-4"/>
    <n v="3.8212730815760307E-4"/>
  </r>
  <r>
    <s v="HOUSEHOLD"/>
    <x v="4"/>
    <s v="Товары для дома"/>
    <s v="Товары для ванной комнаты"/>
    <s v="Аксессуары для ванной комнаты"/>
    <s v="Стакан для зубных щеток"/>
    <m/>
    <x v="1"/>
    <x v="0"/>
    <s v="да"/>
    <n v="0"/>
    <n v="0"/>
    <n v="0"/>
    <n v="2"/>
    <n v="0"/>
    <n v="2"/>
    <n v="2"/>
    <n v="0"/>
    <n v="2"/>
    <n v="37"/>
    <n v="54705.760000000009"/>
    <n v="139"/>
    <n v="1.7681382282294249E-4"/>
    <n v="2.517331556109328E-4"/>
  </r>
  <r>
    <s v="BEAUTY&amp;HEALTH&amp; PHARMA"/>
    <x v="2"/>
    <s v="Уход"/>
    <s v="Уход за кожей лица"/>
    <s v="Маски для лица"/>
    <s v="Маски-саше прочие"/>
    <m/>
    <x v="0"/>
    <x v="1"/>
    <s v="да"/>
    <n v="7"/>
    <n v="7"/>
    <n v="14"/>
    <n v="7"/>
    <n v="7"/>
    <n v="14"/>
    <n v="0"/>
    <n v="0"/>
    <n v="0"/>
    <n v="62"/>
    <n v="113134.25"/>
    <n v="2416"/>
    <n v="3.6565983608867654E-4"/>
    <n v="4.3754482298993796E-3"/>
  </r>
  <r>
    <s v="BEAUTY&amp;HEALTH&amp; PHARMA"/>
    <x v="2"/>
    <s v="Уход"/>
    <s v="Уход за кожей лица"/>
    <s v="Маски для лица"/>
    <s v="Патчи"/>
    <m/>
    <x v="0"/>
    <x v="1"/>
    <s v="да"/>
    <n v="9"/>
    <n v="4"/>
    <n v="13"/>
    <n v="9"/>
    <n v="4"/>
    <n v="13"/>
    <n v="0"/>
    <n v="0"/>
    <n v="0"/>
    <n v="103"/>
    <n v="610813.22999999986"/>
    <n v="1154"/>
    <n v="1.9742020260230218E-3"/>
    <n v="2.089928500539687E-3"/>
  </r>
  <r>
    <s v="BEAUTY&amp;HEALTH&amp; PHARMA"/>
    <x v="2"/>
    <s v="Уход"/>
    <s v="Уход за кожей лица"/>
    <s v="Очищение"/>
    <s v="Тоник"/>
    <m/>
    <x v="0"/>
    <x v="1"/>
    <s v="нет"/>
    <n v="5"/>
    <n v="1"/>
    <n v="6"/>
    <n v="5"/>
    <n v="1"/>
    <n v="6"/>
    <n v="0"/>
    <n v="0"/>
    <n v="0"/>
    <n v="175"/>
    <n v="993418.15999999992"/>
    <n v="2306"/>
    <n v="3.210814775835917E-3"/>
    <n v="4.1762349412864108E-3"/>
  </r>
  <r>
    <s v="BEAUTY&amp;HEALTH&amp; PHARMA"/>
    <x v="2"/>
    <s v="Уход"/>
    <s v="Средства по уходу за волосами"/>
    <s v="Лечение волос"/>
    <s v="Средства для лечения себореи, псориаза, аллопеции"/>
    <m/>
    <x v="0"/>
    <x v="0"/>
    <s v="да"/>
    <n v="1"/>
    <n v="1"/>
    <n v="2"/>
    <n v="1"/>
    <n v="1"/>
    <n v="2"/>
    <n v="0"/>
    <n v="0"/>
    <n v="0"/>
    <n v="8"/>
    <n v="12342.63"/>
    <n v="17"/>
    <n v="3.9892464595851222E-5"/>
    <n v="3.0787508240186029E-5"/>
  </r>
  <r>
    <s v="BEAUTY&amp;HEALTH&amp; PHARMA"/>
    <x v="2"/>
    <s v="Уход"/>
    <s v="Средства по уходу за волосами"/>
    <s v="Средства для укладки и стайлинга волос"/>
    <s v="Лак, жидкость для фиксации волос"/>
    <m/>
    <x v="0"/>
    <x v="0"/>
    <s v="да"/>
    <n v="3"/>
    <n v="2"/>
    <n v="5"/>
    <n v="3"/>
    <n v="2"/>
    <n v="5"/>
    <n v="0"/>
    <n v="0"/>
    <n v="0"/>
    <n v="58"/>
    <n v="469852.08999999985"/>
    <n v="623"/>
    <n v="1.5186032365558798E-3"/>
    <n v="1.1282716255079938E-3"/>
  </r>
  <r>
    <s v="BEAUTY&amp;HEALTH&amp; PHARMA"/>
    <x v="2"/>
    <s v="Уход"/>
    <s v="Уход за кожей тела"/>
    <s v="Коррекция"/>
    <s v="Коррекция"/>
    <m/>
    <x v="0"/>
    <x v="1"/>
    <s v="да"/>
    <n v="1"/>
    <n v="0"/>
    <n v="1"/>
    <n v="1"/>
    <n v="0"/>
    <n v="1"/>
    <n v="0"/>
    <n v="0"/>
    <n v="0"/>
    <n v="58"/>
    <n v="256611.99000000005"/>
    <n v="340"/>
    <n v="8.293924978668186E-4"/>
    <n v="6.1575016480372056E-4"/>
  </r>
  <r>
    <s v="BEAUTY&amp;HEALTH&amp; PHARMA"/>
    <x v="0"/>
    <s v="Уход"/>
    <s v="Уход за кожей тела"/>
    <s v="Лечебный уход за кожей тела"/>
    <s v="Ранозаживляющие средства"/>
    <m/>
    <x v="0"/>
    <x v="0"/>
    <s v="да"/>
    <n v="1"/>
    <n v="0"/>
    <n v="1"/>
    <n v="1"/>
    <n v="0"/>
    <n v="1"/>
    <n v="0"/>
    <n v="0"/>
    <n v="0"/>
    <n v="0"/>
    <n v="0"/>
    <n v="0"/>
    <n v="0"/>
    <n v="0"/>
  </r>
  <r>
    <s v="BEAUTY&amp;HEALTH&amp; PHARMA"/>
    <x v="2"/>
    <s v="Уход"/>
    <s v="Уход за кожей тела"/>
    <s v="Скрабы и пилинги"/>
    <s v="Скрабы и пилинги"/>
    <m/>
    <x v="0"/>
    <x v="1"/>
    <s v="да"/>
    <n v="6"/>
    <n v="4"/>
    <n v="10"/>
    <n v="6"/>
    <n v="4"/>
    <n v="10"/>
    <n v="0"/>
    <n v="0"/>
    <n v="0"/>
    <n v="160"/>
    <n v="613303.86999999953"/>
    <n v="1978"/>
    <n v="1.9822519933331488E-3"/>
    <n v="3.5822171352404685E-3"/>
  </r>
  <r>
    <s v="BEAUTY&amp;HEALTH&amp; PHARMA"/>
    <x v="2"/>
    <s v="Уход"/>
    <s v="Уход за кожей тела"/>
    <s v="Увлажнение и питание кожи тела"/>
    <s v="Увлажнение и питание кожи тела"/>
    <m/>
    <x v="0"/>
    <x v="1"/>
    <s v="да"/>
    <n v="10"/>
    <n v="5"/>
    <n v="15"/>
    <n v="10"/>
    <n v="5"/>
    <n v="15"/>
    <n v="0"/>
    <n v="0"/>
    <n v="0"/>
    <n v="345"/>
    <n v="1728044.2300000007"/>
    <n v="4072"/>
    <n v="5.5851907790592462E-3"/>
    <n v="7.3745137384727951E-3"/>
  </r>
  <r>
    <s v="BEAUTY&amp;HEALTH&amp; PHARMA"/>
    <x v="2"/>
    <s v="Уход"/>
    <s v="Уход за кожей рук"/>
    <s v="Увлажнение и питание кожи рук"/>
    <s v="Увлажнение и питание кожи рук"/>
    <m/>
    <x v="0"/>
    <x v="1"/>
    <s v="да"/>
    <n v="4"/>
    <n v="5"/>
    <n v="9"/>
    <n v="4"/>
    <n v="5"/>
    <n v="9"/>
    <n v="0"/>
    <n v="0"/>
    <n v="0"/>
    <n v="165"/>
    <n v="543806.66999999993"/>
    <n v="2134"/>
    <n v="1.7576309368394539E-3"/>
    <n v="3.8647377990915872E-3"/>
  </r>
  <r>
    <s v="BEAUTY&amp;HEALTH&amp; PHARMA"/>
    <x v="2"/>
    <s v="Уход"/>
    <s v="Уход за кожей ног"/>
    <s v="Увлажнение и питание кожи ног"/>
    <s v="Увлажнение и питание кожи ног"/>
    <m/>
    <x v="0"/>
    <x v="0"/>
    <s v="да"/>
    <n v="4"/>
    <n v="2"/>
    <n v="6"/>
    <n v="4"/>
    <n v="2"/>
    <n v="6"/>
    <n v="0"/>
    <n v="0"/>
    <n v="0"/>
    <n v="52"/>
    <n v="157243.44000000003"/>
    <n v="651"/>
    <n v="5.0822461364635068E-4"/>
    <n v="1.1789804626094768E-3"/>
  </r>
  <r>
    <s v="BEAUTY&amp;HEALTH&amp; PHARMA"/>
    <x v="0"/>
    <s v="Товары для взрослых"/>
    <s v="Секс-игрушки"/>
    <s v="Вагинальные тренажёры"/>
    <s v="Вагинальные шарики со смещённым центром тяжести"/>
    <m/>
    <x v="0"/>
    <x v="0"/>
    <s v="нет"/>
    <n v="0"/>
    <n v="0"/>
    <n v="0"/>
    <n v="0"/>
    <n v="0"/>
    <n v="0"/>
    <n v="0"/>
    <n v="0"/>
    <n v="0"/>
    <n v="11"/>
    <n v="38203.120000000003"/>
    <n v="57"/>
    <n v="1.2347584040444022E-4"/>
    <n v="1.0322870409944728E-4"/>
  </r>
  <r>
    <s v="BEAUTY&amp;HEALTH&amp; PHARMA"/>
    <x v="0"/>
    <s v="Товары для взрослых"/>
    <s v="Секс-игрушки"/>
    <s v="Вибраторы"/>
    <s v="Вибропули"/>
    <m/>
    <x v="0"/>
    <x v="0"/>
    <s v="да"/>
    <n v="1"/>
    <n v="0"/>
    <n v="1"/>
    <n v="1"/>
    <n v="0"/>
    <n v="1"/>
    <n v="0"/>
    <n v="0"/>
    <n v="0"/>
    <n v="26"/>
    <n v="33319"/>
    <n v="113"/>
    <n v="1.0768993544075833E-4"/>
    <n v="2.0464637830241303E-4"/>
  </r>
  <r>
    <s v="HOUSEHOLD"/>
    <x v="4"/>
    <s v="Товары для дома"/>
    <s v="Товары для ванной комнаты"/>
    <s v="Аксессуары для ванной комнаты"/>
    <s v="Дозатор для мыла"/>
    <m/>
    <x v="1"/>
    <x v="0"/>
    <s v="нет"/>
    <n v="0"/>
    <n v="0"/>
    <n v="0"/>
    <n v="3"/>
    <n v="0"/>
    <n v="3"/>
    <n v="3"/>
    <n v="0"/>
    <n v="3"/>
    <n v="43"/>
    <n v="53557.680000000008"/>
    <n v="95"/>
    <n v="1.7310312739148218E-4"/>
    <n v="1.7204784016574545E-4"/>
  </r>
  <r>
    <s v="HOUSEHOLD"/>
    <x v="4"/>
    <s v="Товары для дома"/>
    <s v="Сервировка стола"/>
    <s v="Аксессуары для сервировки"/>
    <s v="Аксессуары для сервировки прочее"/>
    <m/>
    <x v="1"/>
    <x v="1"/>
    <s v="да"/>
    <n v="0"/>
    <n v="0"/>
    <n v="0"/>
    <n v="2"/>
    <n v="0"/>
    <n v="2"/>
    <n v="2"/>
    <n v="0"/>
    <n v="2"/>
    <n v="17"/>
    <n v="52103.09"/>
    <n v="236"/>
    <n v="1.6840176470974582E-4"/>
    <n v="4.2740305556964136E-4"/>
  </r>
  <r>
    <s v="DIY"/>
    <x v="4"/>
    <s v="Строительство и ремонт"/>
    <s v="Крепеж и фурнитура"/>
    <s v="Дверная фурнитура"/>
    <s v="Дверная фурнитура"/>
    <m/>
    <x v="1"/>
    <x v="0"/>
    <s v="да"/>
    <n v="0"/>
    <n v="0"/>
    <n v="0"/>
    <n v="10"/>
    <n v="0"/>
    <n v="10"/>
    <n v="10"/>
    <n v="0"/>
    <n v="10"/>
    <n v="80"/>
    <n v="51489.319999999992"/>
    <n v="246"/>
    <n v="1.6641800614329799E-4"/>
    <n v="4.4551335453445667E-4"/>
  </r>
  <r>
    <s v="HOUSEHOLD"/>
    <x v="4"/>
    <s v="Товары для дома"/>
    <s v="Сервировка стола"/>
    <s v="Аксессуары для сервировки"/>
    <s v="Салфетницы и подставки для салфеток"/>
    <m/>
    <x v="1"/>
    <x v="1"/>
    <s v="да"/>
    <n v="0"/>
    <n v="0"/>
    <n v="0"/>
    <n v="2"/>
    <n v="0"/>
    <n v="2"/>
    <n v="2"/>
    <n v="0"/>
    <n v="2"/>
    <n v="8"/>
    <n v="50863.46"/>
    <n v="69"/>
    <n v="1.643951716346107E-4"/>
    <n v="1.2496106285722565E-4"/>
  </r>
  <r>
    <s v="DIY"/>
    <x v="5"/>
    <s v="Бытовая техника и Электроника"/>
    <s v="Малая бытовая техника"/>
    <s v="Прочая малая бытовая техника"/>
    <s v="Мелкая бытовая техника"/>
    <m/>
    <x v="0"/>
    <x v="0"/>
    <s v="да"/>
    <n v="7"/>
    <n v="0"/>
    <n v="7"/>
    <n v="7"/>
    <n v="0"/>
    <n v="7"/>
    <n v="0"/>
    <n v="0"/>
    <n v="0"/>
    <n v="4"/>
    <n v="181930"/>
    <n v="12"/>
    <n v="5.8801374455227234E-4"/>
    <n v="2.1732358757778372E-5"/>
  </r>
  <r>
    <s v="DIY"/>
    <x v="5"/>
    <s v="Бытовая техника и Электроника"/>
    <s v="Малая бытовая техника"/>
    <s v="Техника для кухни"/>
    <s v="Блендеры и измельчители"/>
    <m/>
    <x v="0"/>
    <x v="0"/>
    <s v="да"/>
    <n v="6"/>
    <n v="0"/>
    <n v="6"/>
    <n v="6"/>
    <n v="0"/>
    <n v="6"/>
    <n v="0"/>
    <n v="0"/>
    <n v="0"/>
    <n v="51"/>
    <n v="693493.29999999993"/>
    <n v="257"/>
    <n v="2.2414312766168985E-3"/>
    <n v="4.6543468339575348E-4"/>
  </r>
  <r>
    <s v="DIY"/>
    <x v="5"/>
    <s v="Бытовая техника и Электроника"/>
    <s v="Малая бытовая техника"/>
    <s v="Техника для кухни"/>
    <s v="Кухонная машина"/>
    <m/>
    <x v="0"/>
    <x v="0"/>
    <s v="да"/>
    <n v="1"/>
    <n v="0"/>
    <n v="1"/>
    <n v="1"/>
    <n v="0"/>
    <n v="1"/>
    <n v="0"/>
    <n v="0"/>
    <n v="0"/>
    <n v="2"/>
    <n v="30111"/>
    <n v="4"/>
    <n v="9.7321397582660776E-5"/>
    <n v="7.2441195859261247E-6"/>
  </r>
  <r>
    <s v="DIY"/>
    <x v="5"/>
    <s v="Бытовая техника и Электроника"/>
    <s v="Потребительская электроника"/>
    <s v="Игровые приставки"/>
    <s v="Игровые приставки 8Bit и 16Bit"/>
    <m/>
    <x v="0"/>
    <x v="0"/>
    <s v="да"/>
    <n v="1"/>
    <n v="0"/>
    <n v="1"/>
    <n v="1"/>
    <n v="0"/>
    <n v="1"/>
    <n v="0"/>
    <n v="0"/>
    <n v="0"/>
    <n v="2"/>
    <n v="31491.67"/>
    <n v="13"/>
    <n v="1.0178384432971175E-4"/>
    <n v="2.3543388654259903E-5"/>
  </r>
  <r>
    <s v="DIY"/>
    <x v="4"/>
    <s v="Автомобильные товары и запчасти"/>
    <s v="Автомобильные товары"/>
    <s v="Аксессуары для автомобилей"/>
    <s v="Наборы автомобилиста"/>
    <m/>
    <x v="0"/>
    <x v="0"/>
    <s v="да"/>
    <n v="1"/>
    <n v="0"/>
    <n v="1"/>
    <n v="1"/>
    <n v="0"/>
    <n v="1"/>
    <n v="0"/>
    <n v="0"/>
    <n v="0"/>
    <n v="7"/>
    <n v="7161.34"/>
    <n v="21"/>
    <n v="2.3146080082515091E-5"/>
    <n v="3.8031627826112152E-5"/>
  </r>
  <r>
    <s v="DIY"/>
    <x v="4"/>
    <s v="Автомобильные товары и запчасти"/>
    <s v="Автомобильные товары"/>
    <s v="Противоугонные устройства"/>
    <s v="Противоугонные устройства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Кузов"/>
    <s v="Автошампунь"/>
    <m/>
    <x v="0"/>
    <x v="0"/>
    <s v="да"/>
    <n v="1"/>
    <n v="0"/>
    <n v="1"/>
    <n v="1"/>
    <n v="0"/>
    <n v="1"/>
    <n v="0"/>
    <n v="0"/>
    <n v="0"/>
    <n v="9"/>
    <n v="27334.75"/>
    <n v="69"/>
    <n v="8.8348313658551242E-5"/>
    <n v="1.2496106285722565E-4"/>
  </r>
  <r>
    <s v="DIY"/>
    <x v="4"/>
    <s v="Автомобильные товары и запчасти"/>
    <s v="Автокосметика и автохимия"/>
    <s v="Кузов"/>
    <s v="Антикор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Очистители салона"/>
    <s v="Набор автокосметики"/>
    <m/>
    <x v="0"/>
    <x v="1"/>
    <s v="да"/>
    <n v="1"/>
    <n v="0"/>
    <n v="1"/>
    <n v="1"/>
    <n v="0"/>
    <n v="1"/>
    <n v="0"/>
    <n v="0"/>
    <n v="0"/>
    <n v="5"/>
    <n v="10678.59"/>
    <n v="18"/>
    <n v="3.4514141111627824E-5"/>
    <n v="3.259853813666756E-5"/>
  </r>
  <r>
    <s v="DIY"/>
    <x v="5"/>
    <s v="Компьютеры и аксессуары"/>
    <s v="IT/Office"/>
    <s v="Оргтехника"/>
    <s v="3D-принтер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5"/>
    <s v="Компьютеры и аксессуары"/>
    <s v="IT/Office"/>
    <s v="Оргтехника"/>
    <s v="Картриджи, чернила, тонер-картридж"/>
    <m/>
    <x v="0"/>
    <x v="0"/>
    <s v="да"/>
    <n v="3"/>
    <n v="0"/>
    <n v="3"/>
    <n v="3"/>
    <n v="0"/>
    <n v="3"/>
    <n v="0"/>
    <n v="0"/>
    <n v="0"/>
    <n v="17"/>
    <n v="88748.84"/>
    <n v="122"/>
    <n v="2.8684404844209584E-4"/>
    <n v="2.2094564737074681E-4"/>
  </r>
  <r>
    <s v="DIY"/>
    <x v="5"/>
    <s v="Компьютеры и аксессуары"/>
    <s v="IT/Office"/>
    <s v="Оргтехника"/>
    <s v="Кассовые аппараты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5"/>
    <s v="Компьютеры и аксессуары"/>
    <s v="IT/Office"/>
    <s v="Сетевое оборудование"/>
    <s v="Устройство для мобильного интернета"/>
    <m/>
    <x v="0"/>
    <x v="0"/>
    <s v="да"/>
    <n v="1"/>
    <n v="0"/>
    <n v="1"/>
    <n v="1"/>
    <n v="0"/>
    <n v="1"/>
    <n v="0"/>
    <n v="0"/>
    <n v="0"/>
    <n v="4"/>
    <n v="9899"/>
    <n v="6"/>
    <n v="3.1994437736068515E-5"/>
    <n v="1.0866179378889186E-5"/>
  </r>
  <r>
    <s v="DIY"/>
    <x v="5"/>
    <s v="Компьютеры и аксессуары"/>
    <s v="Комплектующие и аксессуары для ПК"/>
    <s v="Игровые аксессуары, микрофоны и наушники"/>
    <s v="Геймпады"/>
    <m/>
    <x v="0"/>
    <x v="1"/>
    <s v="да"/>
    <n v="2"/>
    <n v="0"/>
    <n v="2"/>
    <n v="2"/>
    <n v="0"/>
    <n v="2"/>
    <n v="0"/>
    <n v="0"/>
    <n v="0"/>
    <n v="1"/>
    <n v="7340.9"/>
    <n v="11"/>
    <n v="2.3726433778836784E-5"/>
    <n v="1.9921328861296842E-5"/>
  </r>
  <r>
    <s v="DIY"/>
    <x v="5"/>
    <s v="Компьютеры и аксессуары"/>
    <s v="Комплектующие и аксессуары для ПК"/>
    <s v="Компьютерные комплектующие"/>
    <s v="Карта памяти"/>
    <m/>
    <x v="0"/>
    <x v="0"/>
    <s v="да"/>
    <n v="7"/>
    <n v="0"/>
    <n v="7"/>
    <n v="7"/>
    <n v="0"/>
    <n v="7"/>
    <n v="0"/>
    <n v="0"/>
    <n v="0"/>
    <n v="12"/>
    <n v="22273.780000000002"/>
    <n v="74"/>
    <n v="7.1990813956650989E-5"/>
    <n v="1.340162123396333E-4"/>
  </r>
  <r>
    <s v="DIY"/>
    <x v="5"/>
    <s v="Компьютеры и аксессуары"/>
    <s v="Комплектующие и аксессуары для ПК"/>
    <s v="Мыши и клавиатуры"/>
    <s v="Мыши и клавиатуры"/>
    <m/>
    <x v="0"/>
    <x v="0"/>
    <s v="да"/>
    <n v="6"/>
    <n v="1"/>
    <n v="7"/>
    <n v="6"/>
    <n v="1"/>
    <n v="7"/>
    <n v="0"/>
    <n v="0"/>
    <n v="0"/>
    <n v="10"/>
    <n v="23859.210000000003"/>
    <n v="145"/>
    <n v="7.7115063014120949E-5"/>
    <n v="2.6259933498982199E-4"/>
  </r>
  <r>
    <s v="DIY"/>
    <x v="4"/>
    <s v="Компьютеры и аксессуары"/>
    <s v="Элементы питания"/>
    <s v="Батарейки"/>
    <s v="Батарейка Крона D"/>
    <m/>
    <x v="0"/>
    <x v="0"/>
    <s v="да"/>
    <n v="1"/>
    <n v="0"/>
    <n v="1"/>
    <n v="1"/>
    <n v="0"/>
    <n v="1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Кардиотренажеры"/>
    <m/>
    <x v="0"/>
    <x v="0"/>
    <s v="да"/>
    <n v="1"/>
    <n v="0"/>
    <n v="1"/>
    <n v="1"/>
    <n v="0"/>
    <n v="1"/>
    <n v="0"/>
    <n v="0"/>
    <n v="0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Свободные веса"/>
    <m/>
    <x v="0"/>
    <x v="0"/>
    <s v="да"/>
    <n v="1"/>
    <n v="0"/>
    <n v="1"/>
    <n v="1"/>
    <n v="0"/>
    <n v="1"/>
    <n v="0"/>
    <n v="0"/>
    <n v="0"/>
    <n v="4"/>
    <n v="15999.900000000001"/>
    <n v="18"/>
    <n v="5.1713082567261606E-5"/>
    <n v="3.259853813666756E-5"/>
  </r>
  <r>
    <s v="DIY"/>
    <x v="6"/>
    <s v="Спорт и активный отдых"/>
    <s v="Туризм и спелеология"/>
    <s v="Туризм"/>
    <s v="Туристические фонари"/>
    <m/>
    <x v="0"/>
    <x v="1"/>
    <s v="да"/>
    <n v="2"/>
    <n v="1"/>
    <n v="3"/>
    <n v="2"/>
    <n v="1"/>
    <n v="3"/>
    <n v="0"/>
    <n v="0"/>
    <n v="0"/>
    <n v="12"/>
    <n v="66386.740000000005"/>
    <n v="349"/>
    <n v="2.1456777648556108E-4"/>
    <n v="6.3204943387205437E-4"/>
  </r>
  <r>
    <s v="HOUSEHOLD"/>
    <x v="4"/>
    <s v="Товары для дома"/>
    <s v="Декор для дома и ароматы"/>
    <s v="Диффузоры, масла, духи, свечи"/>
    <s v="Благовония"/>
    <m/>
    <x v="1"/>
    <x v="0"/>
    <s v="да"/>
    <n v="0"/>
    <n v="0"/>
    <n v="0"/>
    <n v="4"/>
    <n v="0"/>
    <n v="4"/>
    <n v="4"/>
    <n v="0"/>
    <n v="4"/>
    <n v="16"/>
    <n v="50816.760000000009"/>
    <n v="283"/>
    <n v="1.6424423313150189E-4"/>
    <n v="5.1252146070427328E-4"/>
  </r>
  <r>
    <s v="DIY"/>
    <x v="5"/>
    <s v="Смартфоны и гаджеты"/>
    <s v="Telecom"/>
    <s v="Аудиотехника для гаджетов"/>
    <s v="Наушники TWS"/>
    <m/>
    <x v="0"/>
    <x v="0"/>
    <s v="да"/>
    <n v="16"/>
    <n v="2"/>
    <n v="18"/>
    <n v="16"/>
    <n v="2"/>
    <n v="18"/>
    <n v="0"/>
    <n v="0"/>
    <n v="0"/>
    <n v="196"/>
    <n v="839695.30000000028"/>
    <n v="958"/>
    <n v="2.7139689860712574E-3"/>
    <n v="1.7349666408293068E-3"/>
  </r>
  <r>
    <s v="DIY"/>
    <x v="4"/>
    <s v="Праздничные и сезонные товары"/>
    <s v="Товары для летнего отдыха"/>
    <s v="Термосумки и автохолодильники"/>
    <s v="Термосумка"/>
    <m/>
    <x v="1"/>
    <x v="2"/>
    <s v="да"/>
    <n v="0"/>
    <n v="0"/>
    <n v="0"/>
    <n v="0"/>
    <n v="0"/>
    <n v="0"/>
    <n v="0"/>
    <n v="0"/>
    <n v="0"/>
    <n v="14"/>
    <n v="48997"/>
    <n v="31"/>
    <n v="1.5836260892556308E-4"/>
    <n v="5.6141926790927467E-5"/>
  </r>
  <r>
    <s v="HOUSEHOLD"/>
    <x v="4"/>
    <s v="Товары для дома"/>
    <s v="Текстиль для спальни"/>
    <s v="Подушки и наволочки декоративные"/>
    <s v="Декоративная подушка"/>
    <m/>
    <x v="1"/>
    <x v="0"/>
    <s v="да"/>
    <n v="1"/>
    <n v="0"/>
    <n v="1"/>
    <n v="5"/>
    <n v="0"/>
    <n v="5"/>
    <n v="4"/>
    <n v="0"/>
    <n v="4"/>
    <n v="16"/>
    <n v="45688.2"/>
    <n v="112"/>
    <n v="1.4766827661107641E-4"/>
    <n v="2.028353484059315E-4"/>
  </r>
  <r>
    <s v="FOODZOO"/>
    <x v="3"/>
    <s v="Обувь"/>
    <s v="Уход и аксессуары для обуви"/>
    <s v="Аксессуары для ухода за обувью"/>
    <s v="Дезодорант для обуви"/>
    <m/>
    <x v="0"/>
    <x v="1"/>
    <s v="нет"/>
    <n v="1"/>
    <n v="0"/>
    <n v="1"/>
    <n v="1"/>
    <n v="0"/>
    <n v="1"/>
    <n v="0"/>
    <n v="0"/>
    <n v="0"/>
    <n v="1"/>
    <n v="36.53"/>
    <n v="1"/>
    <n v="1.1806816956243892E-7"/>
    <n v="1.8110298964815312E-6"/>
  </r>
  <r>
    <s v="HOBBIES&amp;SCHOOL"/>
    <x v="1"/>
    <s v="Книги, хобби, канцелярия"/>
    <s v="Хобби"/>
    <s v="Моделирование"/>
    <s v="Инструменты для сборных моделей"/>
    <m/>
    <x v="0"/>
    <x v="0"/>
    <s v="нет"/>
    <n v="0"/>
    <n v="0"/>
    <n v="0"/>
    <n v="0"/>
    <n v="0"/>
    <n v="0"/>
    <n v="0"/>
    <n v="0"/>
    <n v="0"/>
    <n v="1"/>
    <n v="140"/>
    <n v="1"/>
    <n v="4.5249230054041737E-7"/>
    <n v="1.8110298964815312E-6"/>
  </r>
  <r>
    <s v="HOBBIES&amp;SCHOOL"/>
    <x v="1"/>
    <s v="Книги, хобби, канцелярия"/>
    <s v="Хобби"/>
    <s v="Товары для рисования"/>
    <s v="Карандаши цветные"/>
    <m/>
    <x v="0"/>
    <x v="0"/>
    <s v="да"/>
    <n v="6"/>
    <n v="1"/>
    <n v="7"/>
    <n v="6"/>
    <n v="1"/>
    <n v="7"/>
    <n v="0"/>
    <n v="0"/>
    <n v="0"/>
    <n v="54"/>
    <n v="206898.98999999996"/>
    <n v="1169"/>
    <n v="6.6871571403277709E-4"/>
    <n v="2.1170939489869099E-3"/>
  </r>
  <r>
    <s v="HOBBIES&amp;SCHOOL"/>
    <x v="1"/>
    <s v="Книги, хобби, канцелярия"/>
    <s v="Книги"/>
    <s v="Книги для ВУЗов"/>
    <s v="Педагогика, психология, социальная работа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ниги для ВУЗов"/>
    <s v="Прикладные науки, техника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Комиксы и артбуки"/>
    <s v="Комиксы"/>
    <m/>
    <x v="0"/>
    <x v="0"/>
    <s v="нет"/>
    <n v="0"/>
    <n v="0"/>
    <n v="0"/>
    <n v="0"/>
    <n v="0"/>
    <n v="0"/>
    <n v="0"/>
    <n v="0"/>
    <n v="0"/>
    <n v="2"/>
    <n v="1691.8400000000001"/>
    <n v="5"/>
    <n v="5.4681755267592845E-6"/>
    <n v="9.0551494824076554E-6"/>
  </r>
  <r>
    <s v="HOBBIES&amp;SCHOOL"/>
    <x v="1"/>
    <s v="Книги, хобби, канцелярия"/>
    <s v="Книги"/>
    <s v="Религия"/>
    <s v="Религия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Карты таро"/>
    <m/>
    <x v="0"/>
    <x v="0"/>
    <s v="нет"/>
    <n v="2"/>
    <n v="0"/>
    <n v="2"/>
    <n v="2"/>
    <n v="0"/>
    <n v="2"/>
    <n v="0"/>
    <n v="0"/>
    <n v="0"/>
    <n v="8"/>
    <n v="21954.739999999998"/>
    <n v="36"/>
    <n v="7.0959648645476587E-5"/>
    <n v="6.519707627333512E-5"/>
  </r>
  <r>
    <s v="HOBBIES&amp;SCHOOL"/>
    <x v="1"/>
    <s v="Книги, хобби, канцелярия"/>
    <s v="Канцелярия"/>
    <s v="Организация рабочего места"/>
    <s v="Калькуляторы"/>
    <m/>
    <x v="0"/>
    <x v="0"/>
    <s v="да"/>
    <n v="1"/>
    <n v="0"/>
    <n v="1"/>
    <n v="1"/>
    <n v="0"/>
    <n v="1"/>
    <n v="0"/>
    <n v="0"/>
    <n v="0"/>
    <n v="3"/>
    <n v="4558.7299999999996"/>
    <n v="21"/>
    <n v="1.473421589459012E-5"/>
    <n v="3.8031627826112152E-5"/>
  </r>
  <r>
    <s v="HOBBIES&amp;SCHOOL"/>
    <x v="1"/>
    <s v="Книги, хобби, канцелярия"/>
    <s v="Канцелярия"/>
    <s v="Организация рабочего места"/>
    <s v="Органайзеры для рабочего стола"/>
    <m/>
    <x v="0"/>
    <x v="0"/>
    <s v="да"/>
    <n v="1"/>
    <n v="0"/>
    <n v="1"/>
    <n v="1"/>
    <n v="0"/>
    <n v="1"/>
    <n v="0"/>
    <n v="0"/>
    <n v="0"/>
    <n v="1"/>
    <n v="1197.68"/>
    <n v="3"/>
    <n v="3.8710069893660509E-6"/>
    <n v="5.4330896894445931E-6"/>
  </r>
  <r>
    <s v="HOBBIES&amp;SCHOOL"/>
    <x v="1"/>
    <s v="Книги, хобби, канцелярия"/>
    <s v="Канцелярия"/>
    <s v="Организация рабочего места"/>
    <s v="Файлы"/>
    <m/>
    <x v="0"/>
    <x v="0"/>
    <s v="да"/>
    <n v="1"/>
    <n v="0"/>
    <n v="1"/>
    <n v="1"/>
    <n v="0"/>
    <n v="1"/>
    <n v="0"/>
    <n v="0"/>
    <n v="0"/>
    <n v="4"/>
    <n v="12207.03"/>
    <n v="39"/>
    <n v="3.9454193481899222E-5"/>
    <n v="7.0630165962779713E-5"/>
  </r>
  <r>
    <s v="HOBBIES&amp;SCHOOL"/>
    <x v="1"/>
    <s v="Книги, хобби, канцелярия"/>
    <s v="Музыкальные инструменты"/>
    <s v="Гитарные аксессуары"/>
    <s v="Струны"/>
    <m/>
    <x v="0"/>
    <x v="0"/>
    <s v="нет"/>
    <n v="0"/>
    <n v="0"/>
    <n v="0"/>
    <n v="0"/>
    <n v="0"/>
    <n v="0"/>
    <n v="0"/>
    <n v="0"/>
    <n v="0"/>
    <n v="1"/>
    <n v="403"/>
    <n v="1"/>
    <n v="1.3025314079842014E-6"/>
    <n v="1.8110298964815312E-6"/>
  </r>
  <r>
    <s v="HOBBIES&amp;SCHOOL"/>
    <x v="1"/>
    <s v="Книги, хобби, канцелярия"/>
    <s v="Музыкальные инструменты"/>
    <s v="Гитарные аксессуары"/>
    <s v="Тюнеры, метрономы, камертоны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Музыкальные инструменты"/>
    <s v="Перкуссия"/>
    <s v="Язычковые барабаны, глюкофон, фимбо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Декор для дома и ароматы"/>
    <s v="Диффузоры, масла, духи, свечи"/>
    <s v="Ароматическая лампа"/>
    <m/>
    <x v="1"/>
    <x v="1"/>
    <s v="да"/>
    <n v="0"/>
    <n v="0"/>
    <n v="0"/>
    <n v="0"/>
    <n v="0"/>
    <n v="0"/>
    <n v="0"/>
    <n v="0"/>
    <n v="0"/>
    <n v="3"/>
    <n v="41827.089999999997"/>
    <n v="34"/>
    <n v="1.3518882985007918E-4"/>
    <n v="6.1575016480372059E-5"/>
  </r>
  <r>
    <s v="HOUSEHOLD"/>
    <x v="4"/>
    <s v="Мебель"/>
    <s v="Хранение вещей и одежды и организация порядка"/>
    <s v="Хранение вещей и одежды"/>
    <s v="Товары для хранения прочие"/>
    <m/>
    <x v="1"/>
    <x v="0"/>
    <s v="да"/>
    <n v="0"/>
    <n v="0"/>
    <n v="0"/>
    <n v="2"/>
    <n v="0"/>
    <n v="2"/>
    <n v="2"/>
    <n v="0"/>
    <n v="2"/>
    <n v="14"/>
    <n v="41654.909999999996"/>
    <n v="70"/>
    <n v="1.3463232896217169E-4"/>
    <n v="1.2677209275370718E-4"/>
  </r>
  <r>
    <s v="HOUSEHOLD"/>
    <x v="4"/>
    <s v="Товары для дома"/>
    <s v="Приготовление пищи"/>
    <s v="Товары для выпечки и приготовления"/>
    <s v="Пленка пищевая"/>
    <m/>
    <x v="1"/>
    <x v="0"/>
    <s v="да"/>
    <n v="0"/>
    <n v="0"/>
    <n v="0"/>
    <n v="0"/>
    <n v="0"/>
    <n v="0"/>
    <n v="0"/>
    <n v="0"/>
    <n v="0"/>
    <n v="9"/>
    <n v="41601.599999999999"/>
    <n v="317"/>
    <n v="1.3446002635830162E-4"/>
    <n v="5.7409647718464538E-4"/>
  </r>
  <r>
    <s v="HOUSEHOLD"/>
    <x v="4"/>
    <s v="Товары для дома"/>
    <s v="Хранение посуды и продуктов"/>
    <s v="Хранение продуктов"/>
    <s v="Набор емкостей для специй и соусов"/>
    <m/>
    <x v="1"/>
    <x v="0"/>
    <s v="да"/>
    <n v="0"/>
    <n v="0"/>
    <n v="0"/>
    <n v="2"/>
    <n v="0"/>
    <n v="2"/>
    <n v="2"/>
    <n v="0"/>
    <n v="2"/>
    <n v="8"/>
    <n v="41239.519999999997"/>
    <n v="49"/>
    <n v="1.3328975198558966E-4"/>
    <n v="8.874046492759502E-5"/>
  </r>
  <r>
    <s v="HOUSEHOLD"/>
    <x v="4"/>
    <s v="Товары для дома"/>
    <s v="Приготовление пищи"/>
    <s v="Кастрюли, сковороды, пароварки, горшки"/>
    <s v="Приготовление пищи прочее"/>
    <m/>
    <x v="1"/>
    <x v="1"/>
    <s v="да"/>
    <n v="0"/>
    <n v="0"/>
    <n v="0"/>
    <n v="2"/>
    <n v="0"/>
    <n v="2"/>
    <n v="2"/>
    <n v="0"/>
    <n v="2"/>
    <n v="7"/>
    <n v="41161.729999999996"/>
    <n v="177"/>
    <n v="1.3303832787088223E-4"/>
    <n v="3.2055229167723102E-4"/>
  </r>
  <r>
    <s v="HOUSEHOLD"/>
    <x v="4"/>
    <s v="Мебель"/>
    <s v="Хранение вещей и одежды и организация порядка"/>
    <s v="Вешалки для одежды"/>
    <s v="Настенные вешалки"/>
    <m/>
    <x v="1"/>
    <x v="0"/>
    <s v="нет"/>
    <n v="1"/>
    <n v="0"/>
    <n v="1"/>
    <n v="0"/>
    <n v="0"/>
    <n v="0"/>
    <n v="-1"/>
    <n v="0"/>
    <n v="-1"/>
    <n v="6"/>
    <n v="40638.79"/>
    <n v="22"/>
    <n v="1.3134813984484934E-4"/>
    <n v="3.9842657722593683E-5"/>
  </r>
  <r>
    <s v="HOUSEHOLD"/>
    <x v="4"/>
    <s v="Товары для дома"/>
    <s v="Хранение посуды и продуктов"/>
    <s v="Хранение посуды"/>
    <s v="Подставка под горячее"/>
    <m/>
    <x v="1"/>
    <x v="0"/>
    <s v="нет"/>
    <n v="0"/>
    <n v="0"/>
    <n v="0"/>
    <n v="2"/>
    <n v="0"/>
    <n v="2"/>
    <n v="2"/>
    <n v="0"/>
    <n v="2"/>
    <n v="6"/>
    <n v="40521.539999999994"/>
    <n v="952"/>
    <n v="1.3096917754314673E-4"/>
    <n v="1.7241004614504177E-3"/>
  </r>
  <r>
    <s v="HOUSEHOLD"/>
    <x v="4"/>
    <s v="Товары для дома"/>
    <s v="Приготовление пищи"/>
    <s v="Кухонная утварь"/>
    <s v="Лопатка"/>
    <m/>
    <x v="1"/>
    <x v="0"/>
    <s v="да"/>
    <n v="0"/>
    <n v="0"/>
    <n v="0"/>
    <n v="3"/>
    <n v="0"/>
    <n v="3"/>
    <n v="3"/>
    <n v="0"/>
    <n v="3"/>
    <n v="21"/>
    <n v="40336.07"/>
    <n v="113"/>
    <n v="1.3036972220756653E-4"/>
    <n v="2.0464637830241303E-4"/>
  </r>
  <r>
    <s v="HOUSEHOLD"/>
    <x v="4"/>
    <s v="Товары для дома"/>
    <s v="Уход за бельем и одеждой"/>
    <s v="Стирка белья"/>
    <s v="Мешок для стирки белья"/>
    <m/>
    <x v="0"/>
    <x v="0"/>
    <s v="да"/>
    <n v="2"/>
    <n v="2"/>
    <n v="4"/>
    <n v="2"/>
    <n v="2"/>
    <n v="4"/>
    <n v="0"/>
    <n v="0"/>
    <n v="0"/>
    <n v="11"/>
    <n v="24827.14"/>
    <n v="85"/>
    <n v="8.024349781742156E-5"/>
    <n v="1.5393754120093014E-4"/>
  </r>
  <r>
    <s v="FOODZOO"/>
    <x v="2"/>
    <s v="Гигиена"/>
    <s v="Средства личной гигиены"/>
    <s v="Ватная продукция"/>
    <s v="Ватные диски"/>
    <m/>
    <x v="1"/>
    <x v="0"/>
    <s v="да"/>
    <n v="1"/>
    <n v="0"/>
    <n v="1"/>
    <n v="1"/>
    <n v="0"/>
    <n v="1"/>
    <n v="0"/>
    <n v="0"/>
    <n v="0"/>
    <n v="5"/>
    <n v="40285.47"/>
    <n v="846"/>
    <n v="1.3020617856179977E-4"/>
    <n v="1.5321312924233754E-3"/>
  </r>
  <r>
    <s v="FOODZOO"/>
    <x v="2"/>
    <s v="Бытовая химия"/>
    <s v="Средства для уборки"/>
    <s v="Уход за коврами и мебелью"/>
    <s v="Уход за деревянной мебелью"/>
    <m/>
    <x v="1"/>
    <x v="0"/>
    <s v="нет"/>
    <n v="5"/>
    <n v="0"/>
    <n v="5"/>
    <n v="5"/>
    <n v="0"/>
    <n v="5"/>
    <n v="0"/>
    <n v="0"/>
    <n v="0"/>
    <n v="4"/>
    <n v="39733.550000000003"/>
    <n v="96"/>
    <n v="1.2842232462955501E-4"/>
    <n v="1.7385887006222698E-4"/>
  </r>
  <r>
    <s v="FOODZOO"/>
    <x v="2"/>
    <s v="Гигиена"/>
    <s v="Бумажная продукция"/>
    <s v="Бумажные полотенца"/>
    <s v="Бумажные полотенца"/>
    <m/>
    <x v="1"/>
    <x v="0"/>
    <s v="да"/>
    <n v="0"/>
    <n v="0"/>
    <n v="0"/>
    <n v="0"/>
    <n v="0"/>
    <n v="0"/>
    <n v="0"/>
    <n v="0"/>
    <n v="0"/>
    <n v="14"/>
    <n v="39217.26"/>
    <n v="151"/>
    <n v="1.2675362998779778E-4"/>
    <n v="2.7346551436871122E-4"/>
  </r>
  <r>
    <s v="HOUSEHOLD"/>
    <x v="4"/>
    <s v="Товары для дома"/>
    <s v="Уход за бельем и одеждой"/>
    <s v="Уход за одеждой"/>
    <s v="Роллеры"/>
    <m/>
    <x v="1"/>
    <x v="0"/>
    <s v="да"/>
    <n v="1"/>
    <n v="0"/>
    <n v="1"/>
    <n v="2"/>
    <n v="0"/>
    <n v="2"/>
    <n v="1"/>
    <n v="0"/>
    <n v="1"/>
    <n v="11"/>
    <n v="38292.879999999997"/>
    <n v="197"/>
    <n v="1.2376595261084382E-4"/>
    <n v="3.5677288960686164E-4"/>
  </r>
  <r>
    <s v="HOUSEHOLD"/>
    <x v="4"/>
    <s v="Товары для дома"/>
    <s v="Приготовление пищи"/>
    <s v="Кухонная утварь"/>
    <s v="Ножи, штопоры"/>
    <m/>
    <x v="1"/>
    <x v="0"/>
    <s v="да"/>
    <n v="2"/>
    <n v="0"/>
    <n v="2"/>
    <n v="2"/>
    <n v="0"/>
    <n v="2"/>
    <n v="0"/>
    <n v="0"/>
    <n v="0"/>
    <n v="19"/>
    <n v="37843.279999999999"/>
    <n v="101"/>
    <n v="1.2231280590853689E-4"/>
    <n v="1.8291401954463463E-4"/>
  </r>
  <r>
    <s v="HOUSEHOLD"/>
    <x v="4"/>
    <s v="Товары для дома"/>
    <s v="Декор интерьера"/>
    <s v="Ковры и гобелены"/>
    <s v="Коврики декоративные"/>
    <m/>
    <x v="1"/>
    <x v="0"/>
    <s v="нет"/>
    <n v="0"/>
    <n v="0"/>
    <n v="0"/>
    <n v="2"/>
    <n v="0"/>
    <n v="2"/>
    <n v="2"/>
    <n v="0"/>
    <n v="2"/>
    <n v="38"/>
    <n v="37176.850000000006"/>
    <n v="108"/>
    <n v="1.201588455953287E-4"/>
    <n v="1.9559122882000535E-4"/>
  </r>
  <r>
    <s v="BEAUTY&amp;HEALTH&amp; PHARMA"/>
    <x v="2"/>
    <s v="Гигиена"/>
    <s v="Депиляция"/>
    <s v="Депиляционные средства"/>
    <s v="Депиляционные воски"/>
    <m/>
    <x v="1"/>
    <x v="0"/>
    <s v="да"/>
    <n v="1"/>
    <n v="0"/>
    <n v="1"/>
    <n v="1"/>
    <n v="0"/>
    <n v="1"/>
    <n v="0"/>
    <n v="0"/>
    <n v="0"/>
    <n v="12"/>
    <n v="36686.120000000003"/>
    <n v="127"/>
    <n v="1.185727631192987E-4"/>
    <n v="2.3000079685315446E-4"/>
  </r>
  <r>
    <s v="HOUSEHOLD"/>
    <x v="4"/>
    <s v="Праздничные и сезонные товары"/>
    <s v="Товары для летнего отдыха"/>
    <s v="Барбекю, грили, коптильни, аксессуары"/>
    <s v="Мангал сборный"/>
    <m/>
    <x v="1"/>
    <x v="1"/>
    <s v="да"/>
    <n v="2"/>
    <n v="0"/>
    <n v="2"/>
    <n v="0"/>
    <n v="0"/>
    <n v="0"/>
    <n v="-2"/>
    <n v="0"/>
    <n v="-2"/>
    <n v="8"/>
    <n v="35445.050000000003"/>
    <n v="39"/>
    <n v="1.1456151583764373E-4"/>
    <n v="7.0630165962779713E-5"/>
  </r>
  <r>
    <s v="FOODZOO"/>
    <x v="2"/>
    <s v="Бытовая химия"/>
    <s v="Средства для сантехники"/>
    <s v="Блоки для унитаза"/>
    <s v="Блоки для унитаза"/>
    <m/>
    <x v="1"/>
    <x v="0"/>
    <s v="да"/>
    <n v="0"/>
    <n v="0"/>
    <n v="0"/>
    <n v="0"/>
    <n v="0"/>
    <n v="0"/>
    <n v="0"/>
    <n v="0"/>
    <n v="0"/>
    <n v="4"/>
    <n v="34659.58"/>
    <n v="62"/>
    <n v="1.1202280778546172E-4"/>
    <n v="1.1228385358185493E-4"/>
  </r>
  <r>
    <s v="HOUSEHOLD"/>
    <x v="4"/>
    <s v="Ремонт и обустройство дома"/>
    <s v="Строительство и ремонт"/>
    <s v="Водоснабжение"/>
    <s v="Насосы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Комплект белья для мужчин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Одежда"/>
    <s v="Одежда для беременных"/>
    <s v="Одежда для беременных"/>
    <s v="Пояс, бандаж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Игрушечный транспорт для малышей"/>
    <m/>
    <x v="0"/>
    <x v="1"/>
    <s v="нет"/>
    <n v="4"/>
    <n v="0"/>
    <n v="4"/>
    <n v="4"/>
    <n v="0"/>
    <n v="4"/>
    <n v="0"/>
    <n v="0"/>
    <n v="0"/>
    <n v="68"/>
    <n v="218179.28"/>
    <n v="377"/>
    <n v="7.0517460241037054E-4"/>
    <n v="6.8275827097353723E-4"/>
  </r>
  <r>
    <s v="TOYS"/>
    <x v="1"/>
    <s v="Детские товары"/>
    <s v="Игры и игрушки"/>
    <s v="Спорт и активный отдых детей"/>
    <s v="Активный отдых детей"/>
    <m/>
    <x v="0"/>
    <x v="4"/>
    <s v="нет"/>
    <n v="2"/>
    <n v="0"/>
    <n v="2"/>
    <n v="2"/>
    <n v="0"/>
    <n v="2"/>
    <n v="0"/>
    <n v="0"/>
    <n v="0"/>
    <n v="35"/>
    <n v="50434.729999999981"/>
    <n v="124"/>
    <n v="1.6300947860596284E-4"/>
    <n v="2.2456770716370987E-4"/>
  </r>
  <r>
    <s v="TOYS"/>
    <x v="1"/>
    <s v="Детские товары"/>
    <s v="Прогулки и путешествия"/>
    <s v="Слинги, рюкзаки, переноски и сумки для родителей"/>
    <s v="Слинги, рюкзаки, переноски и сумки для родителей"/>
    <m/>
    <x v="0"/>
    <x v="0"/>
    <s v="нет"/>
    <n v="0"/>
    <n v="0"/>
    <n v="0"/>
    <n v="0"/>
    <n v="0"/>
    <n v="0"/>
    <n v="0"/>
    <n v="0"/>
    <n v="0"/>
    <n v="1"/>
    <n v="2900"/>
    <n v="1"/>
    <n v="9.3730547969086453E-6"/>
    <n v="1.8110298964815312E-6"/>
  </r>
  <r>
    <s v="TOYS"/>
    <x v="3"/>
    <s v="Обувь"/>
    <s v="Уход и аксессуары для обуви"/>
    <s v="Аксессуары для обуви"/>
    <s v="Ложка, рожок для обуви"/>
    <m/>
    <x v="0"/>
    <x v="1"/>
    <s v="да"/>
    <n v="1"/>
    <n v="0"/>
    <n v="1"/>
    <n v="1"/>
    <n v="0"/>
    <n v="1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крывала и пледы"/>
    <s v="Пледы"/>
    <m/>
    <x v="1"/>
    <x v="0"/>
    <s v="да"/>
    <n v="0"/>
    <n v="0"/>
    <n v="0"/>
    <n v="5"/>
    <n v="0"/>
    <n v="5"/>
    <n v="5"/>
    <n v="0"/>
    <n v="5"/>
    <n v="4"/>
    <n v="34624"/>
    <n v="12"/>
    <n v="1.1190781009936722E-4"/>
    <n v="2.1732358757778372E-5"/>
  </r>
  <r>
    <s v="TOYS"/>
    <x v="3"/>
    <s v="Аксессуары"/>
    <s v="Аксессуары для путешествий"/>
    <s v="Аксессуары для путешествий и багажа"/>
    <s v="Подушка для путешествий"/>
    <m/>
    <x v="0"/>
    <x v="1"/>
    <s v="да"/>
    <n v="1"/>
    <n v="0"/>
    <n v="1"/>
    <n v="1"/>
    <n v="0"/>
    <n v="1"/>
    <n v="0"/>
    <n v="0"/>
    <n v="0"/>
    <n v="2"/>
    <n v="3136"/>
    <n v="2"/>
    <n v="1.013582753210535E-5"/>
    <n v="3.6220597929630623E-6"/>
  </r>
  <r>
    <s v="TOYS"/>
    <x v="3"/>
    <s v="Аксессуары"/>
    <s v="Зонты и дождевики"/>
    <s v="Зонты и дождевики"/>
    <s v="Зонт"/>
    <m/>
    <x v="0"/>
    <x v="1"/>
    <s v="да"/>
    <n v="1"/>
    <n v="1"/>
    <n v="2"/>
    <n v="1"/>
    <n v="1"/>
    <n v="2"/>
    <n v="0"/>
    <n v="0"/>
    <n v="0"/>
    <n v="85"/>
    <n v="158954.79999999999"/>
    <n v="176"/>
    <n v="5.1375587952815665E-4"/>
    <n v="3.1874126178074947E-4"/>
  </r>
  <r>
    <s v="HOUSEHOLD"/>
    <x v="4"/>
    <s v="Товары для дома"/>
    <s v="Приготовление пищи"/>
    <s v="Кухонная утварь"/>
    <s v="Сито и дуршлаг"/>
    <m/>
    <x v="1"/>
    <x v="0"/>
    <s v="да"/>
    <n v="0"/>
    <n v="0"/>
    <n v="0"/>
    <n v="1"/>
    <n v="0"/>
    <n v="1"/>
    <n v="1"/>
    <n v="0"/>
    <n v="1"/>
    <n v="15"/>
    <n v="34617.360000000001"/>
    <n v="171"/>
    <n v="1.1188634903597016E-4"/>
    <n v="3.0968611229834184E-4"/>
  </r>
  <r>
    <s v="TOYS"/>
    <x v="1"/>
    <s v="Книги, хобби, канцелярия"/>
    <s v="Книги"/>
    <s v="Книги и учебные материалы для СПО"/>
    <s v="Книги и учебные материалы для СПО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6"/>
    <s v="Спорт и активный отдых"/>
    <s v="Точные виды спорта"/>
    <s v="Точные виды спорта"/>
    <s v="Точные виды спорта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ногтей"/>
    <s v="Средства для снятия лака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Аксессуары прочие"/>
    <s v="Аксессуары для ухода за одеждой"/>
    <s v="Ролики и сменные блоки для чистки одежды"/>
    <m/>
    <x v="0"/>
    <x v="0"/>
    <s v="нет"/>
    <n v="0"/>
    <n v="0"/>
    <n v="0"/>
    <n v="0"/>
    <n v="0"/>
    <n v="0"/>
    <n v="0"/>
    <n v="0"/>
    <n v="0"/>
    <n v="1"/>
    <n v="7852.31"/>
    <n v="52"/>
    <n v="2.5379355831832321E-5"/>
    <n v="9.4173554617039612E-5"/>
  </r>
  <r>
    <s v="HOBBIES&amp;SCHOOL"/>
    <x v="1"/>
    <s v="Книги, хобби, канцелярия"/>
    <s v="Хобби"/>
    <s v="Коллекционирование"/>
    <s v="Наклейки для коллекционирования"/>
    <m/>
    <x v="0"/>
    <x v="0"/>
    <s v="нет"/>
    <n v="0"/>
    <n v="0"/>
    <n v="0"/>
    <n v="0"/>
    <n v="0"/>
    <n v="0"/>
    <n v="0"/>
    <n v="0"/>
    <n v="0"/>
    <n v="1"/>
    <n v="610"/>
    <n v="1"/>
    <n v="1.9715735952118187E-6"/>
    <n v="1.8110298964815312E-6"/>
  </r>
  <r>
    <s v="BEAUTY&amp;HEALTH&amp; PHARMA"/>
    <x v="2"/>
    <s v="Уход"/>
    <s v="Уход за кожей лица"/>
    <s v="Масла для лица"/>
    <s v="Масла для лица"/>
    <m/>
    <x v="0"/>
    <x v="1"/>
    <s v="нет"/>
    <n v="0"/>
    <n v="0"/>
    <n v="0"/>
    <n v="0"/>
    <n v="0"/>
    <n v="0"/>
    <n v="0"/>
    <n v="0"/>
    <n v="0"/>
    <n v="10"/>
    <n v="44816.78"/>
    <n v="37"/>
    <n v="1.448517706072412E-4"/>
    <n v="6.7008106169816651E-5"/>
  </r>
  <r>
    <s v="DIY"/>
    <x v="4"/>
    <s v="Автомобильные товары и запчасти"/>
    <s v="Автокосметика и автохимия"/>
    <s v="Фары и стекла"/>
    <s v="Антидождь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4"/>
    <s v="Компьютеры и аксессуары"/>
    <s v="Элементы питания"/>
    <s v="Батарейки"/>
    <s v="Батарейки С"/>
    <m/>
    <x v="0"/>
    <x v="0"/>
    <s v="да"/>
    <n v="0"/>
    <n v="0"/>
    <n v="0"/>
    <n v="0"/>
    <n v="0"/>
    <n v="0"/>
    <n v="0"/>
    <n v="0"/>
    <n v="0"/>
    <n v="5"/>
    <n v="1500.29"/>
    <n v="11"/>
    <n v="4.8490690969841629E-6"/>
    <n v="1.9921328861296842E-5"/>
  </r>
  <r>
    <s v="HOUSEHOLD"/>
    <x v="4"/>
    <s v="Товары для дома"/>
    <s v="Порядок в доме и уборка"/>
    <s v="Веники, щетки и совки"/>
    <s v="Веник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Мышь"/>
    <m/>
    <x v="0"/>
    <x v="1"/>
    <s v="да"/>
    <n v="0"/>
    <n v="1"/>
    <n v="1"/>
    <n v="0"/>
    <n v="1"/>
    <n v="1"/>
    <n v="0"/>
    <n v="0"/>
    <n v="0"/>
    <n v="74"/>
    <n v="170554.52999999997"/>
    <n v="283"/>
    <n v="5.5124722605206871E-4"/>
    <n v="5.1252146070427328E-4"/>
  </r>
  <r>
    <s v="HOUSEHOLD"/>
    <x v="4"/>
    <s v="Товары для дома"/>
    <s v="Порядок в доме и уборка"/>
    <s v="Уборка в кухне, ванной и туалете"/>
    <s v="Вантуз"/>
    <m/>
    <x v="0"/>
    <x v="0"/>
    <s v="да"/>
    <n v="0"/>
    <n v="2"/>
    <n v="2"/>
    <n v="0"/>
    <n v="2"/>
    <n v="2"/>
    <n v="0"/>
    <n v="0"/>
    <n v="0"/>
    <n v="0"/>
    <n v="0"/>
    <n v="0"/>
    <n v="0"/>
    <n v="0"/>
  </r>
  <r>
    <s v="DIY"/>
    <x v="5"/>
    <s v="Смартфоны и гаджеты"/>
    <s v="Смартфоны"/>
    <s v="Аксессуары для смартфонов"/>
    <s v="Кабели, переходники, ЗУ"/>
    <m/>
    <x v="0"/>
    <x v="0"/>
    <s v="да"/>
    <n v="0"/>
    <n v="1"/>
    <n v="1"/>
    <n v="0"/>
    <n v="1"/>
    <n v="1"/>
    <n v="0"/>
    <n v="0"/>
    <n v="0"/>
    <n v="19"/>
    <n v="11410.14"/>
    <n v="35"/>
    <n v="3.6878574986344556E-5"/>
    <n v="6.338604637685359E-5"/>
  </r>
  <r>
    <s v="HOUSEHOLD"/>
    <x v="4"/>
    <s v="Праздничные и сезонные товары"/>
    <s v="Пасхальный ассортимент"/>
    <s v="Пасхальные наборы"/>
    <s v="Формы для выпечки"/>
    <m/>
    <x v="0"/>
    <x v="1"/>
    <s v="да"/>
    <n v="0"/>
    <n v="1"/>
    <n v="1"/>
    <n v="0"/>
    <n v="1"/>
    <n v="1"/>
    <n v="0"/>
    <n v="0"/>
    <n v="0"/>
    <n v="1"/>
    <n v="688"/>
    <n v="4"/>
    <n v="2.223676448370051E-6"/>
    <n v="7.2441195859261247E-6"/>
  </r>
  <r>
    <s v="TOYS"/>
    <x v="3"/>
    <s v="Аксессуары"/>
    <s v="Аксессуары для волос"/>
    <s v="Заколки"/>
    <s v="Невидимки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Аксессуары для телефонов и планшетов"/>
    <m/>
    <x v="0"/>
    <x v="0"/>
    <s v="да"/>
    <n v="0"/>
    <n v="1"/>
    <n v="1"/>
    <n v="0"/>
    <n v="1"/>
    <n v="1"/>
    <n v="0"/>
    <n v="0"/>
    <n v="0"/>
    <n v="6"/>
    <n v="1310"/>
    <n v="16"/>
    <n v="4.2340350979139055E-6"/>
    <n v="2.8976478343704499E-5"/>
  </r>
  <r>
    <s v="DIY"/>
    <x v="6"/>
    <s v="Спорт и активный отдых"/>
    <s v="Туризм и спелеология"/>
    <s v="Туризм"/>
    <s v="Горелки, грелки, зажигалки и кемпинговые лампы"/>
    <m/>
    <x v="0"/>
    <x v="1"/>
    <s v="да"/>
    <n v="0"/>
    <n v="0"/>
    <n v="0"/>
    <n v="0"/>
    <n v="0"/>
    <n v="0"/>
    <n v="0"/>
    <n v="0"/>
    <n v="0"/>
    <n v="6"/>
    <n v="5567.77"/>
    <n v="11"/>
    <n v="1.7995521829856571E-5"/>
    <n v="1.9921328861296842E-5"/>
  </r>
  <r>
    <s v="DIY"/>
    <x v="5"/>
    <s v="Бытовая техника и Электроника"/>
    <s v="Потребительская электроника"/>
    <s v="Прочая потребительская электроника"/>
    <s v="Прочая потребительская электроника"/>
    <m/>
    <x v="0"/>
    <x v="1"/>
    <s v="да"/>
    <n v="0"/>
    <n v="1"/>
    <n v="1"/>
    <n v="0"/>
    <n v="1"/>
    <n v="1"/>
    <n v="0"/>
    <n v="0"/>
    <n v="0"/>
    <n v="4"/>
    <n v="1516"/>
    <n v="4"/>
    <n v="4.89984519728052E-6"/>
    <n v="7.2441195859261247E-6"/>
  </r>
  <r>
    <s v="HOUSEHOLD"/>
    <x v="4"/>
    <s v="Товары для дома"/>
    <s v="Уход за бельем и одеждой"/>
    <s v="Сушка белья и обуви"/>
    <s v="Прищепки"/>
    <m/>
    <x v="0"/>
    <x v="0"/>
    <s v="да"/>
    <n v="0"/>
    <n v="1"/>
    <n v="1"/>
    <n v="0"/>
    <n v="1"/>
    <n v="1"/>
    <n v="0"/>
    <n v="0"/>
    <n v="0"/>
    <n v="4"/>
    <n v="5462.19"/>
    <n v="35"/>
    <n v="1.7654277993491874E-5"/>
    <n v="6.338604637685359E-5"/>
  </r>
  <r>
    <s v="TOYS"/>
    <x v="3"/>
    <s v="Обувь"/>
    <s v="Уход и аксессуары для обуви"/>
    <s v="Аксессуары для обуви"/>
    <s v="Джиббитсы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5"/>
    <s v="Смартфоны и гаджеты"/>
    <s v="Мобильная аксессуарика"/>
    <s v="Аксессуары для телефонов и планшетов"/>
    <s v="Дополнительные аксессуары"/>
    <m/>
    <x v="0"/>
    <x v="1"/>
    <s v="да"/>
    <n v="0"/>
    <n v="2"/>
    <n v="2"/>
    <n v="0"/>
    <n v="2"/>
    <n v="2"/>
    <n v="0"/>
    <n v="0"/>
    <n v="0"/>
    <n v="33"/>
    <n v="26157.489999999994"/>
    <n v="91"/>
    <n v="8.4543305903306856E-5"/>
    <n v="1.6480372057981932E-4"/>
  </r>
  <r>
    <s v="DIY"/>
    <x v="6"/>
    <s v="Спорт и активный отдых"/>
    <s v="Водные виды спорта"/>
    <s v="Плавание"/>
    <s v="Аксессуары для плавания"/>
    <m/>
    <x v="0"/>
    <x v="0"/>
    <s v="да"/>
    <n v="0"/>
    <n v="0"/>
    <n v="0"/>
    <n v="0"/>
    <n v="0"/>
    <n v="0"/>
    <n v="0"/>
    <n v="0"/>
    <n v="0"/>
    <n v="1"/>
    <n v="117"/>
    <n v="1"/>
    <n v="3.7815427973734879E-7"/>
    <n v="1.8110298964815312E-6"/>
  </r>
  <r>
    <s v="DIY"/>
    <x v="5"/>
    <s v="Смартфоны и гаджеты"/>
    <s v="Мобильная аксессуарика"/>
    <s v="Аксессуары для телефонов и планшетов"/>
    <s v="Bluetooth-аксессуары"/>
    <m/>
    <x v="0"/>
    <x v="0"/>
    <s v="да"/>
    <n v="0"/>
    <n v="0"/>
    <n v="0"/>
    <n v="0"/>
    <n v="0"/>
    <n v="0"/>
    <n v="0"/>
    <n v="0"/>
    <n v="0"/>
    <n v="1"/>
    <n v="678"/>
    <n v="1"/>
    <n v="2.1913555697600215E-6"/>
    <n v="1.8110298964815312E-6"/>
  </r>
  <r>
    <s v="DIY"/>
    <x v="5"/>
    <s v="Компьютеры и аксессуары"/>
    <s v="Комплектующие и аксессуары для ПК"/>
    <s v="Кабели и переходники"/>
    <s v="Кабели и переходники"/>
    <m/>
    <x v="0"/>
    <x v="0"/>
    <s v="да"/>
    <n v="0"/>
    <n v="1"/>
    <n v="1"/>
    <n v="0"/>
    <n v="1"/>
    <n v="1"/>
    <n v="0"/>
    <n v="0"/>
    <n v="0"/>
    <n v="1"/>
    <n v="896"/>
    <n v="3"/>
    <n v="2.8959507234586713E-6"/>
    <n v="5.4330896894445931E-6"/>
  </r>
  <r>
    <s v="DIY"/>
    <x v="5"/>
    <s v="Смартфоны и гаджеты"/>
    <s v="Смартфоны"/>
    <s v="Аксессуары для смартфонов"/>
    <s v="Стабилизаторы, моноподы, селфи палки"/>
    <m/>
    <x v="0"/>
    <x v="0"/>
    <s v="да"/>
    <n v="0"/>
    <n v="0"/>
    <n v="0"/>
    <n v="0"/>
    <n v="0"/>
    <n v="0"/>
    <n v="0"/>
    <n v="0"/>
    <n v="0"/>
    <n v="3"/>
    <n v="2481"/>
    <n v="5"/>
    <n v="8.0188099831483973E-6"/>
    <n v="9.0551494824076554E-6"/>
  </r>
  <r>
    <s v="DIY"/>
    <x v="5"/>
    <s v="Смартфоны и гаджеты"/>
    <s v="Мобильная аксессуарика"/>
    <s v="Аксессуары для планшетов"/>
    <s v="Держатели"/>
    <m/>
    <x v="0"/>
    <x v="0"/>
    <s v="да"/>
    <n v="0"/>
    <n v="1"/>
    <n v="1"/>
    <n v="0"/>
    <n v="1"/>
    <n v="1"/>
    <n v="0"/>
    <n v="0"/>
    <n v="0"/>
    <n v="2"/>
    <n v="1051"/>
    <n v="3"/>
    <n v="3.3969243419141333E-6"/>
    <n v="5.4330896894445931E-6"/>
  </r>
  <r>
    <s v="FOODZOO"/>
    <x v="2"/>
    <s v="Продукция для животных"/>
    <s v="Наполнители и уход"/>
    <s v="Лотки и совки"/>
    <s v="Совки"/>
    <m/>
    <x v="0"/>
    <x v="0"/>
    <s v="да"/>
    <n v="0"/>
    <n v="1"/>
    <n v="1"/>
    <n v="0"/>
    <n v="1"/>
    <n v="1"/>
    <n v="0"/>
    <n v="0"/>
    <n v="0"/>
    <n v="1"/>
    <n v="2056.34"/>
    <n v="38"/>
    <n v="6.6462715520948714E-6"/>
    <n v="6.8819136066298182E-5"/>
  </r>
  <r>
    <s v="DIY"/>
    <x v="6"/>
    <s v="Спорт и активный отдых"/>
    <s v="Туризм и спелеология"/>
    <s v="Туризм"/>
    <s v="Туристическая посуда и термосы"/>
    <m/>
    <x v="0"/>
    <x v="1"/>
    <s v="да"/>
    <n v="0"/>
    <n v="0"/>
    <n v="0"/>
    <n v="0"/>
    <n v="0"/>
    <n v="0"/>
    <n v="0"/>
    <n v="0"/>
    <n v="0"/>
    <n v="66"/>
    <n v="149143.96"/>
    <n v="121"/>
    <n v="4.8204638265791417E-4"/>
    <n v="2.1913461747426527E-4"/>
  </r>
  <r>
    <s v="DIY"/>
    <x v="4"/>
    <s v="Автомобильные товары и запчасти"/>
    <s v="Автомобильные товары"/>
    <s v="Аксессуары для автомобилей"/>
    <s v="Крепления и держатели"/>
    <m/>
    <x v="0"/>
    <x v="0"/>
    <s v="нет"/>
    <n v="0"/>
    <n v="2"/>
    <n v="2"/>
    <n v="0"/>
    <n v="2"/>
    <n v="2"/>
    <n v="0"/>
    <n v="0"/>
    <n v="0"/>
    <n v="27"/>
    <n v="38866.839999999997"/>
    <n v="70"/>
    <n v="1.2562104175954509E-4"/>
    <n v="1.2677209275370718E-4"/>
  </r>
  <r>
    <s v="DIY"/>
    <x v="4"/>
    <s v="Автомобильные товары и запчасти"/>
    <s v="Запчасти"/>
    <s v="Крепеж"/>
    <s v="Клипса крепежная автомобильная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Аксессуары прочие"/>
    <s v="Кошельки и картхолдеры"/>
    <s v="Кошелек"/>
    <m/>
    <x v="0"/>
    <x v="1"/>
    <s v="да"/>
    <n v="0"/>
    <n v="0"/>
    <n v="0"/>
    <n v="0"/>
    <n v="0"/>
    <n v="0"/>
    <n v="0"/>
    <n v="0"/>
    <n v="0"/>
    <n v="32"/>
    <n v="87267"/>
    <n v="51"/>
    <n v="2.8205461136614717E-4"/>
    <n v="9.2362524720558082E-5"/>
  </r>
  <r>
    <s v="HOBBIES&amp;SCHOOL"/>
    <x v="1"/>
    <s v="Книги, хобби, канцелярия"/>
    <s v="Канцелярия"/>
    <s v="Бумажная продукция"/>
    <s v="Плакаты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Бижутерия"/>
    <s v="Бижутерия для женщин"/>
    <s v="Брошь бижутерная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Уход за бельем и одеждой"/>
    <s v="Глаженье белья"/>
    <s v="Аксессуары для гладильной доски"/>
    <m/>
    <x v="0"/>
    <x v="0"/>
    <s v="да"/>
    <n v="0"/>
    <n v="1"/>
    <n v="1"/>
    <n v="0"/>
    <n v="1"/>
    <n v="1"/>
    <n v="0"/>
    <n v="0"/>
    <n v="0"/>
    <n v="1"/>
    <n v="2150"/>
    <n v="1"/>
    <n v="6.9489889011564099E-6"/>
    <n v="1.8110298964815312E-6"/>
  </r>
  <r>
    <s v="BEAUTY&amp;HEALTH&amp; PHARMA"/>
    <x v="2"/>
    <s v="Уход"/>
    <s v="Загар (средства для загара)"/>
    <s v="Средства после загара"/>
    <s v="Средства после загара"/>
    <m/>
    <x v="0"/>
    <x v="1"/>
    <s v="да"/>
    <n v="0"/>
    <n v="0"/>
    <n v="0"/>
    <n v="0"/>
    <n v="0"/>
    <n v="0"/>
    <n v="0"/>
    <n v="0"/>
    <n v="0"/>
    <n v="14"/>
    <n v="17268.61"/>
    <n v="42"/>
    <n v="5.5813664757394695E-5"/>
    <n v="7.6063255652224305E-5"/>
  </r>
  <r>
    <s v="DIY"/>
    <x v="6"/>
    <s v="Спорт и активный отдых"/>
    <s v="Командные виды спорта"/>
    <s v="Баскетбол"/>
    <s v="Баскетбольные мячи"/>
    <m/>
    <x v="0"/>
    <x v="0"/>
    <s v="нет"/>
    <n v="0"/>
    <n v="0"/>
    <n v="0"/>
    <n v="0"/>
    <n v="0"/>
    <n v="0"/>
    <n v="0"/>
    <n v="0"/>
    <n v="0"/>
    <n v="13"/>
    <n v="74505.78"/>
    <n v="47"/>
    <n v="2.4080922711255869E-4"/>
    <n v="8.5118405134631959E-5"/>
  </r>
  <r>
    <s v="TOYS"/>
    <x v="3"/>
    <s v="Одежда"/>
    <s v="Основная одежда"/>
    <s v="Основная одежда для мужчин"/>
    <s v="Толстовка, худи для мужчин"/>
    <m/>
    <x v="0"/>
    <x v="1"/>
    <s v="да"/>
    <n v="0"/>
    <n v="0"/>
    <n v="0"/>
    <n v="0"/>
    <n v="0"/>
    <n v="0"/>
    <n v="0"/>
    <n v="0"/>
    <n v="0"/>
    <n v="479"/>
    <n v="1357955.8600000013"/>
    <n v="864"/>
    <n v="4.3890326508838678E-3"/>
    <n v="1.5647298305600428E-3"/>
  </r>
  <r>
    <s v="DIY"/>
    <x v="5"/>
    <s v="Компьютеры и аксессуары"/>
    <s v="IT/Office"/>
    <s v="Сетевое оборудование"/>
    <s v="Приемник Wi-Fi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Компьютеры и аксессуары"/>
    <s v="IT/Office"/>
    <s v="Офисная периферия"/>
    <s v="Комплект клавиатура и мышь"/>
    <m/>
    <x v="0"/>
    <x v="1"/>
    <s v="да"/>
    <n v="0"/>
    <n v="0"/>
    <n v="0"/>
    <n v="0"/>
    <n v="0"/>
    <n v="0"/>
    <n v="0"/>
    <n v="0"/>
    <n v="0"/>
    <n v="20"/>
    <n v="91696.469999999987"/>
    <n v="103"/>
    <n v="2.9637104758382401E-4"/>
    <n v="1.8653607933759769E-4"/>
  </r>
  <r>
    <s v="DIY"/>
    <x v="4"/>
    <s v="Автомобильные товары и запчасти"/>
    <s v="Автомобильные товары"/>
    <s v="Автопринадлежности"/>
    <s v="Принадлежности для мытья и очистки от снега"/>
    <m/>
    <x v="0"/>
    <x v="0"/>
    <s v="да"/>
    <n v="0"/>
    <n v="0"/>
    <n v="0"/>
    <n v="0"/>
    <n v="0"/>
    <n v="0"/>
    <n v="0"/>
    <n v="0"/>
    <n v="0"/>
    <n v="20"/>
    <n v="13460.160000000002"/>
    <n v="58"/>
    <n v="4.3504419743157897E-5"/>
    <n v="1.0503973399592881E-4"/>
  </r>
  <r>
    <s v="DIY"/>
    <x v="6"/>
    <s v="Спорт и активный отдых"/>
    <s v="Спортивные игры"/>
    <s v="Теннис"/>
    <s v="Теннисные мячи"/>
    <m/>
    <x v="0"/>
    <x v="0"/>
    <s v="нет"/>
    <n v="0"/>
    <n v="0"/>
    <n v="0"/>
    <n v="0"/>
    <n v="0"/>
    <n v="0"/>
    <n v="0"/>
    <n v="0"/>
    <n v="0"/>
    <n v="1"/>
    <n v="425"/>
    <n v="1"/>
    <n v="1.3736373409262672E-6"/>
    <n v="1.8110298964815312E-6"/>
  </r>
  <r>
    <s v="BEAUTY&amp;HEALTH&amp; PHARMA"/>
    <x v="0"/>
    <s v="Парфюмерия и декоративная косметика"/>
    <s v="Декоративная косметика"/>
    <s v="Аксессуары"/>
    <s v="Кисти для глаз"/>
    <m/>
    <x v="0"/>
    <x v="0"/>
    <s v="да"/>
    <n v="0"/>
    <n v="0"/>
    <n v="0"/>
    <n v="0"/>
    <n v="0"/>
    <n v="0"/>
    <n v="0"/>
    <n v="0"/>
    <n v="0"/>
    <n v="15"/>
    <n v="36526.89"/>
    <n v="80"/>
    <n v="1.1805811776919118E-4"/>
    <n v="1.4488239171852249E-4"/>
  </r>
  <r>
    <s v="DIY"/>
    <x v="5"/>
    <s v="Смартфоны и гаджеты"/>
    <s v="Смартфоны"/>
    <s v="Аксессуары для смартфонов"/>
    <s v="Прочие аксессуары для смартфонов"/>
    <m/>
    <x v="0"/>
    <x v="0"/>
    <s v="да"/>
    <n v="0"/>
    <n v="1"/>
    <n v="1"/>
    <n v="0"/>
    <n v="1"/>
    <n v="1"/>
    <n v="0"/>
    <n v="0"/>
    <n v="0"/>
    <n v="13"/>
    <n v="6545.3"/>
    <n v="36"/>
    <n v="2.1154984676622813E-5"/>
    <n v="6.519707627333512E-5"/>
  </r>
  <r>
    <s v="BEAUTY&amp;HEALTH&amp; PHARMA"/>
    <x v="0"/>
    <s v="Парфюмерия и декоративная косметика"/>
    <s v="Декоративная косметика"/>
    <s v="Аксессуары"/>
    <s v="Накладные ресницы"/>
    <m/>
    <x v="0"/>
    <x v="0"/>
    <s v="да"/>
    <n v="0"/>
    <n v="0"/>
    <n v="0"/>
    <n v="0"/>
    <n v="0"/>
    <n v="0"/>
    <n v="0"/>
    <n v="0"/>
    <n v="0"/>
    <n v="43"/>
    <n v="29889.829999999998"/>
    <n v="175"/>
    <n v="9.6606556710442736E-5"/>
    <n v="3.1693023188426796E-4"/>
  </r>
  <r>
    <s v="DIY"/>
    <x v="5"/>
    <s v="Компьютеры и аксессуары"/>
    <s v="IT/Office"/>
    <s v="Мобильные и стационарные компьютеры"/>
    <s v="Колонки компьютерные"/>
    <m/>
    <x v="0"/>
    <x v="1"/>
    <s v="да"/>
    <n v="0"/>
    <n v="0"/>
    <n v="0"/>
    <n v="0"/>
    <n v="0"/>
    <n v="0"/>
    <n v="0"/>
    <n v="0"/>
    <n v="0"/>
    <n v="11"/>
    <n v="13143.609999999999"/>
    <n v="24"/>
    <n v="4.2481302330757389E-5"/>
    <n v="4.3464717515556745E-5"/>
  </r>
  <r>
    <s v="TOYS"/>
    <x v="1"/>
    <s v="Детские товары"/>
    <s v="Аксессуары для детей"/>
    <s v="Рюкзаки"/>
    <s v="Рюкзаки детские"/>
    <m/>
    <x v="0"/>
    <x v="0"/>
    <s v="да"/>
    <n v="0"/>
    <n v="0"/>
    <n v="0"/>
    <n v="0"/>
    <n v="0"/>
    <n v="0"/>
    <n v="0"/>
    <n v="0"/>
    <n v="0"/>
    <n v="42"/>
    <n v="291185.07"/>
    <n v="448"/>
    <n v="9.4113573005230339E-4"/>
    <n v="8.1134139362372599E-4"/>
  </r>
  <r>
    <s v="TOYS"/>
    <x v="3"/>
    <s v="Одежда"/>
    <s v="Домашняя одежда"/>
    <s v="Домашняя одежда для женщин"/>
    <s v="Пижама, ночная сорочка"/>
    <m/>
    <x v="0"/>
    <x v="0"/>
    <s v="да"/>
    <n v="0"/>
    <n v="0"/>
    <n v="0"/>
    <n v="0"/>
    <n v="0"/>
    <n v="0"/>
    <n v="0"/>
    <n v="0"/>
    <n v="0"/>
    <n v="1"/>
    <n v="444"/>
    <n v="1"/>
    <n v="1.4350470102853238E-6"/>
    <n v="1.8110298964815312E-6"/>
  </r>
  <r>
    <s v="DIY"/>
    <x v="4"/>
    <s v="Автомобильные товары и запчасти"/>
    <s v="Автомобильные товары"/>
    <s v="Аксессуары для автомобилей"/>
    <s v="Органайзеры для автомобилей"/>
    <m/>
    <x v="0"/>
    <x v="0"/>
    <s v="да"/>
    <n v="0"/>
    <n v="0"/>
    <n v="0"/>
    <n v="0"/>
    <n v="0"/>
    <n v="0"/>
    <n v="0"/>
    <n v="0"/>
    <n v="0"/>
    <n v="3"/>
    <n v="4537"/>
    <n v="6"/>
    <n v="1.4663982625370527E-5"/>
    <n v="1.0866179378889186E-5"/>
  </r>
  <r>
    <s v="TOYS"/>
    <x v="3"/>
    <s v="Обувь"/>
    <s v="Летняя обувь"/>
    <s v="Туфли, балетки, босоножки для женщин"/>
    <s v="Балетки для женщин"/>
    <m/>
    <x v="0"/>
    <x v="1"/>
    <s v="да"/>
    <n v="0"/>
    <n v="0"/>
    <n v="0"/>
    <n v="0"/>
    <n v="0"/>
    <n v="0"/>
    <n v="0"/>
    <n v="0"/>
    <n v="0"/>
    <n v="43"/>
    <n v="103492.19000000002"/>
    <n v="93"/>
    <n v="3.3449585100761418E-4"/>
    <n v="1.6842578037278239E-4"/>
  </r>
  <r>
    <s v="DIY"/>
    <x v="5"/>
    <s v="Компьютеры и аксессуары"/>
    <s v="IT/Office"/>
    <s v="Мобильные и стационарные компьютеры"/>
    <s v="Разветвитель для компьютера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Обувь"/>
    <s v="Кеды, кроссовки, слипоны"/>
    <s v="Кеды, кроссовки, слипоны для женщин"/>
    <s v="Кроссовки для женщин"/>
    <m/>
    <x v="0"/>
    <x v="1"/>
    <s v="да"/>
    <n v="0"/>
    <n v="0"/>
    <n v="0"/>
    <n v="0"/>
    <n v="0"/>
    <n v="0"/>
    <n v="0"/>
    <n v="0"/>
    <n v="0"/>
    <n v="3194"/>
    <n v="14178590.140000008"/>
    <n v="4280"/>
    <n v="4.5826449077630588E-2"/>
    <n v="7.7512079569409531E-3"/>
  </r>
  <r>
    <s v="DIY"/>
    <x v="4"/>
    <s v="Автомобильные товары и запчасти"/>
    <s v="Автомобильная электроника"/>
    <s v="Доп. оборудование для автоэлектроники"/>
    <s v="Автомобильные зарядные устройства"/>
    <m/>
    <x v="0"/>
    <x v="0"/>
    <s v="да"/>
    <n v="0"/>
    <n v="0"/>
    <n v="0"/>
    <n v="0"/>
    <n v="0"/>
    <n v="0"/>
    <n v="0"/>
    <n v="0"/>
    <n v="0"/>
    <n v="15"/>
    <n v="16351.259999999998"/>
    <n v="33"/>
    <n v="5.2848708958103601E-5"/>
    <n v="5.9763986583890528E-5"/>
  </r>
  <r>
    <s v="TOYS"/>
    <x v="3"/>
    <s v="Обувь"/>
    <s v="Кеды, кроссовки, слипоны"/>
    <s v="Кеды, кроссовки, слипоны для женщин"/>
    <s v="Кеды для женщин"/>
    <m/>
    <x v="0"/>
    <x v="1"/>
    <s v="да"/>
    <n v="0"/>
    <n v="0"/>
    <n v="0"/>
    <n v="0"/>
    <n v="0"/>
    <n v="0"/>
    <n v="0"/>
    <n v="0"/>
    <n v="0"/>
    <n v="360"/>
    <n v="1002212.0499999995"/>
    <n v="611"/>
    <n v="3.2392374009559111E-3"/>
    <n v="1.1065392667502156E-3"/>
  </r>
  <r>
    <s v="DIY"/>
    <x v="5"/>
    <s v="Бытовая техника и Электроника"/>
    <s v="Потребительская электроника"/>
    <s v="Игровые приставки"/>
    <s v="Аксессуар для игровой приставки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Смартфоны и гаджеты"/>
    <s v="Telecom"/>
    <s v="Аудиотехника для гаджетов"/>
    <s v="Наушники Apple"/>
    <m/>
    <x v="0"/>
    <x v="1"/>
    <s v="да"/>
    <n v="0"/>
    <n v="0"/>
    <n v="0"/>
    <n v="0"/>
    <n v="0"/>
    <n v="0"/>
    <n v="0"/>
    <n v="0"/>
    <n v="0"/>
    <n v="4"/>
    <n v="99780"/>
    <n v="14"/>
    <n v="3.2249772677087746E-4"/>
    <n v="2.5354418550741437E-5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мужские"/>
    <m/>
    <x v="0"/>
    <x v="1"/>
    <s v="да"/>
    <n v="0"/>
    <n v="0"/>
    <n v="0"/>
    <n v="0"/>
    <n v="0"/>
    <n v="0"/>
    <n v="0"/>
    <n v="0"/>
    <n v="0"/>
    <n v="68"/>
    <n v="606050.39"/>
    <n v="197"/>
    <n v="1.9588081086751225E-3"/>
    <n v="3.5677288960686164E-4"/>
  </r>
  <r>
    <s v="BEAUTY&amp;HEALTH&amp; PHARMA"/>
    <x v="2"/>
    <s v="Гигиена"/>
    <s v="Бритье"/>
    <s v="Для бритья"/>
    <s v="Для бритья гели"/>
    <m/>
    <x v="1"/>
    <x v="1"/>
    <s v="да"/>
    <n v="1"/>
    <n v="0"/>
    <n v="1"/>
    <n v="1"/>
    <n v="0"/>
    <n v="1"/>
    <n v="0"/>
    <n v="0"/>
    <n v="0"/>
    <n v="14"/>
    <n v="34512.22"/>
    <n v="73"/>
    <n v="1.1154652731826431E-4"/>
    <n v="1.3220518244315177E-4"/>
  </r>
  <r>
    <s v="HOUSEHOLD"/>
    <x v="4"/>
    <s v="Товары для дома"/>
    <s v="Товары для ванной комнаты"/>
    <s v="Аксессуары для ванной комнаты"/>
    <s v="Мыльница"/>
    <m/>
    <x v="1"/>
    <x v="0"/>
    <s v="нет"/>
    <n v="1"/>
    <n v="0"/>
    <n v="1"/>
    <n v="2"/>
    <n v="0"/>
    <n v="2"/>
    <n v="1"/>
    <n v="0"/>
    <n v="1"/>
    <n v="31"/>
    <n v="34021.06"/>
    <n v="85"/>
    <n v="1.0995905504445408E-4"/>
    <n v="1.5393754120093014E-4"/>
  </r>
  <r>
    <s v="HOUSEHOLD"/>
    <x v="4"/>
    <s v="Праздничные и сезонные товары"/>
    <s v="Новогодние товары"/>
    <s v="Новогодние ели"/>
    <s v="Ель искусственная"/>
    <m/>
    <x v="1"/>
    <x v="2"/>
    <s v="да"/>
    <n v="0"/>
    <n v="0"/>
    <n v="0"/>
    <n v="0"/>
    <n v="0"/>
    <n v="0"/>
    <n v="0"/>
    <n v="0"/>
    <n v="0"/>
    <n v="4"/>
    <n v="33535"/>
    <n v="11"/>
    <n v="1.0838806641873498E-4"/>
    <n v="1.9921328861296842E-5"/>
  </r>
  <r>
    <s v="HOUSEHOLD"/>
    <x v="4"/>
    <s v="Товары для дома"/>
    <s v="Декор для дома и ароматы"/>
    <s v="Диффузоры, масла, духи, свечи"/>
    <s v="Ароматическое саше"/>
    <m/>
    <x v="1"/>
    <x v="1"/>
    <s v="да"/>
    <n v="1"/>
    <n v="0"/>
    <n v="1"/>
    <n v="0"/>
    <n v="0"/>
    <n v="0"/>
    <n v="-1"/>
    <n v="0"/>
    <n v="-1"/>
    <n v="13"/>
    <n v="32570.819999999996"/>
    <n v="256"/>
    <n v="1.0527175194491312E-4"/>
    <n v="4.6362365349927198E-4"/>
  </r>
  <r>
    <s v="HOUSEHOLD"/>
    <x v="4"/>
    <s v="Товары для дома"/>
    <s v="Декор для дома и ароматы"/>
    <s v="Диффузоры, масла, духи, свечи"/>
    <s v="Ароматы для дома прочее"/>
    <m/>
    <x v="1"/>
    <x v="0"/>
    <s v="да"/>
    <n v="0"/>
    <n v="0"/>
    <n v="0"/>
    <n v="5"/>
    <n v="0"/>
    <n v="5"/>
    <n v="5"/>
    <n v="0"/>
    <n v="5"/>
    <n v="9"/>
    <n v="32274.61"/>
    <n v="169"/>
    <n v="1.0431437519960544E-4"/>
    <n v="3.0606405250537878E-4"/>
  </r>
  <r>
    <s v="HOUSEHOLD"/>
    <x v="4"/>
    <s v="Товары для дома"/>
    <s v="Текстиль для кухни и столовой"/>
    <s v="Фартуки, прихватки, кухонные полотенца"/>
    <s v="Прихватка"/>
    <m/>
    <x v="1"/>
    <x v="0"/>
    <s v="да"/>
    <n v="0"/>
    <n v="0"/>
    <n v="0"/>
    <n v="6"/>
    <n v="0"/>
    <n v="6"/>
    <n v="6"/>
    <n v="0"/>
    <n v="6"/>
    <n v="11"/>
    <n v="31676.309999999998"/>
    <n v="224"/>
    <n v="1.0238061703236734E-4"/>
    <n v="4.05670696811863E-4"/>
  </r>
  <r>
    <s v="FOODZOO"/>
    <x v="2"/>
    <s v="Гигиена"/>
    <s v="Влажные салфетки"/>
    <s v="Влажные салфетки для личной гигиены"/>
    <s v="Влажные салфетки универсальные"/>
    <m/>
    <x v="1"/>
    <x v="0"/>
    <s v="да"/>
    <n v="0"/>
    <n v="0"/>
    <n v="0"/>
    <n v="0"/>
    <n v="0"/>
    <n v="0"/>
    <n v="0"/>
    <n v="0"/>
    <n v="0"/>
    <n v="13"/>
    <n v="31437.45"/>
    <n v="1902"/>
    <n v="1.0160860052588818E-4"/>
    <n v="3.4445788631078723E-3"/>
  </r>
  <r>
    <s v="HOUSEHOLD"/>
    <x v="4"/>
    <s v="Товары для дома"/>
    <s v="Приготовление пищи"/>
    <s v="Кухонная утварь"/>
    <s v="Шумовки, поварские ложки"/>
    <m/>
    <x v="1"/>
    <x v="1"/>
    <s v="да"/>
    <n v="0"/>
    <n v="0"/>
    <n v="0"/>
    <n v="2"/>
    <n v="0"/>
    <n v="2"/>
    <n v="2"/>
    <n v="0"/>
    <n v="2"/>
    <n v="27"/>
    <n v="30699.88"/>
    <n v="117"/>
    <n v="9.9224709482248204E-5"/>
    <n v="2.1189049788833915E-4"/>
  </r>
  <r>
    <s v="HOUSEHOLD"/>
    <x v="4"/>
    <s v="Товары для дома"/>
    <s v="Декор помещений"/>
    <s v="Декоративные объекты"/>
    <s v="Декоративные объекты прочее"/>
    <m/>
    <x v="1"/>
    <x v="1"/>
    <s v="да"/>
    <n v="0"/>
    <n v="0"/>
    <n v="0"/>
    <n v="0"/>
    <n v="0"/>
    <n v="0"/>
    <n v="0"/>
    <n v="0"/>
    <n v="0"/>
    <n v="27"/>
    <n v="30291.66"/>
    <n v="55"/>
    <n v="9.7905306575629566E-5"/>
    <n v="9.9606644306484218E-5"/>
  </r>
  <r>
    <s v="FOODZOO"/>
    <x v="2"/>
    <s v="Бытовая химия"/>
    <s v="Средства для уборки"/>
    <s v="Чистящие средства"/>
    <s v="Чистящие средства универсальные"/>
    <m/>
    <x v="1"/>
    <x v="0"/>
    <s v="да"/>
    <n v="6"/>
    <n v="0"/>
    <n v="6"/>
    <n v="6"/>
    <n v="0"/>
    <n v="6"/>
    <n v="0"/>
    <n v="0"/>
    <n v="0"/>
    <n v="4"/>
    <n v="29516"/>
    <n v="95"/>
    <n v="9.5398305305363995E-5"/>
    <n v="1.7204784016574545E-4"/>
  </r>
  <r>
    <s v="FOODZOO"/>
    <x v="2"/>
    <s v="Бытовая химия"/>
    <s v="Мытье посуды"/>
    <s v="Средства для автоматического мытья посуды"/>
    <s v="Порошок для ПММ"/>
    <m/>
    <x v="1"/>
    <x v="0"/>
    <s v="да"/>
    <n v="0"/>
    <n v="0"/>
    <n v="0"/>
    <n v="0"/>
    <n v="0"/>
    <n v="0"/>
    <n v="0"/>
    <n v="0"/>
    <n v="0"/>
    <n v="1"/>
    <n v="29314.27"/>
    <n v="275"/>
    <n v="9.4746296221163867E-5"/>
    <n v="4.9803322153242104E-4"/>
  </r>
  <r>
    <s v="HOUSEHOLD"/>
    <x v="4"/>
    <s v="Товары для дома"/>
    <s v="Хозяйственные товары"/>
    <s v="Товары для уборки"/>
    <s v="Перчатки хозяйственные"/>
    <m/>
    <x v="1"/>
    <x v="0"/>
    <s v="да"/>
    <n v="0"/>
    <n v="0"/>
    <n v="0"/>
    <n v="0"/>
    <n v="0"/>
    <n v="0"/>
    <n v="0"/>
    <n v="0"/>
    <n v="0"/>
    <n v="16"/>
    <n v="28581.71"/>
    <n v="1211"/>
    <n v="9.2378597937707515E-5"/>
    <n v="2.193157204639134E-3"/>
  </r>
  <r>
    <s v="DIY"/>
    <x v="4"/>
    <s v="Строительство и ремонт"/>
    <s v="Лакокрасочные материалы"/>
    <s v="Клеи и герметики"/>
    <s v="Клеи"/>
    <m/>
    <x v="1"/>
    <x v="0"/>
    <s v="да"/>
    <n v="0"/>
    <n v="0"/>
    <n v="0"/>
    <n v="7"/>
    <n v="0"/>
    <n v="7"/>
    <n v="7"/>
    <n v="0"/>
    <n v="7"/>
    <n v="13"/>
    <n v="27758.15"/>
    <n v="168"/>
    <n v="8.9716779658899907E-5"/>
    <n v="3.0425302260889722E-4"/>
  </r>
  <r>
    <s v="DIY"/>
    <x v="6"/>
    <s v="Спорт и активный отдых"/>
    <s v="Спортивные игры"/>
    <s v="Бадминтон"/>
    <s v="Бадминтон"/>
    <m/>
    <x v="0"/>
    <x v="2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Гигиена"/>
    <s v="Дезодоранты"/>
    <s v="Дезодоранты мужские"/>
    <s v="Дезодоранты мужские стики"/>
    <m/>
    <x v="1"/>
    <x v="0"/>
    <s v="да"/>
    <n v="0"/>
    <n v="0"/>
    <n v="0"/>
    <n v="0"/>
    <n v="0"/>
    <n v="0"/>
    <n v="0"/>
    <n v="0"/>
    <n v="0"/>
    <n v="7"/>
    <n v="27669.360000000001"/>
    <n v="138"/>
    <n v="8.9429802577721459E-5"/>
    <n v="2.499221257144513E-4"/>
  </r>
  <r>
    <s v="TOYS"/>
    <x v="1"/>
    <s v="Детские товары"/>
    <s v="Товары для новорожденных"/>
    <s v="Ванная комната"/>
    <s v="Горшки и детские сиденья на унитаз"/>
    <m/>
    <x v="1"/>
    <x v="0"/>
    <s v="да"/>
    <n v="2"/>
    <n v="0"/>
    <n v="2"/>
    <n v="0"/>
    <n v="0"/>
    <n v="0"/>
    <n v="-2"/>
    <n v="0"/>
    <n v="-2"/>
    <n v="17"/>
    <n v="26938.41"/>
    <n v="31"/>
    <n v="8.706730795572132E-5"/>
    <n v="5.6141926790927467E-5"/>
  </r>
  <r>
    <s v="BEAUTY&amp;HEALTH&amp; PHARMA"/>
    <x v="2"/>
    <s v="Детская гигиена и уход"/>
    <s v="Уход за детьми"/>
    <s v="Средства для загара детские"/>
    <s v="Детские средства защиты от солнца"/>
    <m/>
    <x v="1"/>
    <x v="1"/>
    <s v="да"/>
    <n v="0"/>
    <n v="0"/>
    <n v="0"/>
    <n v="0"/>
    <n v="0"/>
    <n v="0"/>
    <n v="0"/>
    <n v="0"/>
    <n v="0"/>
    <n v="1"/>
    <n v="25854.07"/>
    <n v="78"/>
    <n v="8.3562625804521346E-5"/>
    <n v="1.4126033192555943E-4"/>
  </r>
  <r>
    <s v="HOUSEHOLD"/>
    <x v="4"/>
    <s v="Товары для дома"/>
    <s v="Приготовление пищи"/>
    <s v="Разделка и нарезка продуктов"/>
    <s v="Кухонные ножницы"/>
    <m/>
    <x v="1"/>
    <x v="0"/>
    <s v="да"/>
    <n v="0"/>
    <n v="0"/>
    <n v="0"/>
    <n v="1"/>
    <n v="0"/>
    <n v="1"/>
    <n v="1"/>
    <n v="0"/>
    <n v="1"/>
    <n v="5"/>
    <n v="25849.850000000002"/>
    <n v="58"/>
    <n v="8.3548986393747925E-5"/>
    <n v="1.0503973399592881E-4"/>
  </r>
  <r>
    <s v="DIY"/>
    <x v="4"/>
    <s v="Строительство и ремонт"/>
    <s v="Электротовары"/>
    <s v="Безопасность и комфорт дома"/>
    <s v="Безопасность и комфорт дома"/>
    <m/>
    <x v="1"/>
    <x v="0"/>
    <s v="да"/>
    <n v="1"/>
    <n v="0"/>
    <n v="1"/>
    <n v="2"/>
    <n v="0"/>
    <n v="2"/>
    <n v="1"/>
    <n v="0"/>
    <n v="1"/>
    <n v="28"/>
    <n v="25840.560000000005"/>
    <n v="84"/>
    <n v="8.351896029751922E-5"/>
    <n v="1.5212651130444861E-4"/>
  </r>
  <r>
    <s v="HOUSEHOLD"/>
    <x v="4"/>
    <s v="Товары для дома"/>
    <s v="Хозяйственные товары"/>
    <s v="Товары для уборки"/>
    <s v="Ведра, швабры, насадки"/>
    <m/>
    <x v="1"/>
    <x v="0"/>
    <s v="да"/>
    <n v="0"/>
    <n v="0"/>
    <n v="0"/>
    <n v="2"/>
    <n v="0"/>
    <n v="2"/>
    <n v="2"/>
    <n v="0"/>
    <n v="2"/>
    <n v="9"/>
    <n v="25498.46"/>
    <n v="271"/>
    <n v="8.2413263040270079E-5"/>
    <n v="4.9078910194649491E-4"/>
  </r>
  <r>
    <s v="FOODZOO"/>
    <x v="2"/>
    <s v="Продукция для животных"/>
    <s v="Корма и лакомства для собак"/>
    <s v="Сухие корма для собак"/>
    <s v="Сухие корма для собак мелких пород"/>
    <m/>
    <x v="1"/>
    <x v="0"/>
    <s v="да"/>
    <n v="3"/>
    <n v="0"/>
    <n v="3"/>
    <n v="3"/>
    <n v="0"/>
    <n v="3"/>
    <n v="0"/>
    <n v="0"/>
    <n v="0"/>
    <n v="5"/>
    <n v="24974.1"/>
    <n v="19"/>
    <n v="8.0718485449474546E-5"/>
    <n v="3.4409568033149091E-5"/>
  </r>
  <r>
    <s v="BEAUTY&amp;HEALTH&amp; PHARMA"/>
    <x v="2"/>
    <s v="Уход"/>
    <s v="Загар (средства для загара)"/>
    <s v="Средства для загара"/>
    <s v="Защита от солнца-селектив"/>
    <m/>
    <x v="0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Хранение посуды и продуктов"/>
    <s v="Хранение продуктов"/>
    <s v="Масленка"/>
    <m/>
    <x v="1"/>
    <x v="0"/>
    <s v="да"/>
    <n v="0"/>
    <n v="0"/>
    <n v="0"/>
    <n v="1"/>
    <n v="0"/>
    <n v="1"/>
    <n v="1"/>
    <n v="0"/>
    <n v="1"/>
    <n v="4"/>
    <n v="23910.690000000002"/>
    <n v="44"/>
    <n v="7.7281450897205377E-5"/>
    <n v="7.9685315445187366E-5"/>
  </r>
  <r>
    <s v="DIY"/>
    <x v="4"/>
    <s v="Праздничные и сезонные товары"/>
    <s v="Товары для летнего отдыха"/>
    <s v="Баня и сауна"/>
    <s v="Ароматизатор для бани и сауны"/>
    <m/>
    <x v="1"/>
    <x v="2"/>
    <s v="да"/>
    <n v="0"/>
    <n v="0"/>
    <n v="0"/>
    <n v="0"/>
    <n v="0"/>
    <n v="0"/>
    <n v="0"/>
    <n v="0"/>
    <n v="0"/>
    <n v="29"/>
    <n v="23607.66"/>
    <n v="148"/>
    <n v="7.6302031312685642E-5"/>
    <n v="2.680324246792666E-4"/>
  </r>
  <r>
    <s v="HOUSEHOLD"/>
    <x v="4"/>
    <s v="Товары для дома"/>
    <s v="Приготовление пищи"/>
    <s v="Разделка и нарезка продуктов"/>
    <s v="Терка"/>
    <m/>
    <x v="1"/>
    <x v="0"/>
    <s v="нет"/>
    <n v="0"/>
    <n v="0"/>
    <n v="0"/>
    <n v="2"/>
    <n v="0"/>
    <n v="2"/>
    <n v="2"/>
    <n v="0"/>
    <n v="2"/>
    <n v="12"/>
    <n v="23319.559999999998"/>
    <n v="143"/>
    <n v="7.5370866799930679E-5"/>
    <n v="2.5897727519685892E-4"/>
  </r>
  <r>
    <s v="HOUSEHOLD"/>
    <x v="4"/>
    <s v="Товары для дома"/>
    <s v="Освещение"/>
    <s v="Светильники и прожекторы"/>
    <s v="Прожекторы и светильники"/>
    <m/>
    <x v="1"/>
    <x v="0"/>
    <s v="да"/>
    <n v="1"/>
    <n v="0"/>
    <n v="1"/>
    <n v="3"/>
    <n v="0"/>
    <n v="3"/>
    <n v="2"/>
    <n v="0"/>
    <n v="2"/>
    <n v="18"/>
    <n v="22279.16"/>
    <n v="82"/>
    <n v="7.2008202589343175E-5"/>
    <n v="1.4850445151148555E-4"/>
  </r>
  <r>
    <s v="FOODZOO"/>
    <x v="2"/>
    <s v="Детская гигиена и уход"/>
    <s v="Детская гигиена"/>
    <s v="Влажные салфетки детские"/>
    <s v="Влажные салфетки детские"/>
    <m/>
    <x v="1"/>
    <x v="0"/>
    <s v="да"/>
    <n v="13"/>
    <n v="0"/>
    <n v="13"/>
    <n v="13"/>
    <n v="0"/>
    <n v="13"/>
    <n v="0"/>
    <n v="0"/>
    <n v="0"/>
    <n v="7"/>
    <n v="22184.820000000003"/>
    <n v="80"/>
    <n v="7.1703287420536171E-5"/>
    <n v="1.4488239171852249E-4"/>
  </r>
  <r>
    <s v="HOUSEHOLD"/>
    <x v="4"/>
    <s v="Товары для дома"/>
    <s v="Сервировка стола"/>
    <s v="Питьевое стекло"/>
    <s v="Кружки, чашки, блюдца"/>
    <m/>
    <x v="1"/>
    <x v="0"/>
    <s v="да"/>
    <n v="0"/>
    <n v="0"/>
    <n v="0"/>
    <n v="5"/>
    <n v="0"/>
    <n v="5"/>
    <n v="5"/>
    <n v="0"/>
    <n v="5"/>
    <n v="20"/>
    <n v="22112.2"/>
    <n v="110"/>
    <n v="7.1468573200070132E-5"/>
    <n v="1.9921328861296844E-4"/>
  </r>
  <r>
    <s v="TOYS"/>
    <x v="1"/>
    <s v="Детские товары"/>
    <s v="Детская комната"/>
    <s v="Аксессуары для кормления"/>
    <s v="Аксессуары для кормления"/>
    <m/>
    <x v="1"/>
    <x v="1"/>
    <s v="да"/>
    <n v="3"/>
    <n v="0"/>
    <n v="3"/>
    <n v="1"/>
    <n v="0"/>
    <n v="1"/>
    <n v="-2"/>
    <n v="0"/>
    <n v="-2"/>
    <n v="17"/>
    <n v="22023.26"/>
    <n v="38"/>
    <n v="7.1181111305712512E-5"/>
    <n v="6.8819136066298182E-5"/>
  </r>
  <r>
    <s v="FOODZOO"/>
    <x v="2"/>
    <s v="Продукция для животных"/>
    <s v="Корма и лакомства для кошек"/>
    <s v="Лакомства для кошек и котят"/>
    <s v="Лакомства для взрослых кошек"/>
    <m/>
    <x v="1"/>
    <x v="0"/>
    <s v="да"/>
    <n v="0"/>
    <n v="0"/>
    <n v="0"/>
    <n v="0"/>
    <n v="0"/>
    <n v="0"/>
    <n v="0"/>
    <n v="0"/>
    <n v="0"/>
    <n v="4"/>
    <n v="21348.960000000003"/>
    <n v="249"/>
    <n v="6.9001714461038223E-5"/>
    <n v="4.5094644422390124E-4"/>
  </r>
  <r>
    <s v="FOODZOO"/>
    <x v="2"/>
    <s v="Гигиена"/>
    <s v="Бритье"/>
    <s v="Бритвы и лезвия"/>
    <s v="Одноразовые станки"/>
    <m/>
    <x v="1"/>
    <x v="1"/>
    <s v="да"/>
    <n v="0"/>
    <n v="0"/>
    <n v="0"/>
    <n v="0"/>
    <n v="0"/>
    <n v="0"/>
    <n v="0"/>
    <n v="0"/>
    <n v="0"/>
    <n v="10"/>
    <n v="21243.88"/>
    <n v="146"/>
    <n v="6.8662086668604016E-5"/>
    <n v="2.6441036488630354E-4"/>
  </r>
  <r>
    <s v="DIY"/>
    <x v="4"/>
    <s v="Мебель"/>
    <s v="Столы и стулья"/>
    <s v="Столы, столики и консоли"/>
    <s v="Консоли мебельные"/>
    <m/>
    <x v="1"/>
    <x v="0"/>
    <s v="да"/>
    <n v="0"/>
    <n v="0"/>
    <n v="0"/>
    <n v="0"/>
    <n v="0"/>
    <n v="0"/>
    <n v="0"/>
    <n v="0"/>
    <n v="0"/>
    <n v="2"/>
    <n v="20929"/>
    <n v="14"/>
    <n v="6.7644366842931389E-5"/>
    <n v="2.5354418550741437E-5"/>
  </r>
  <r>
    <s v="HOUSEHOLD"/>
    <x v="4"/>
    <s v="Товары для дома"/>
    <s v="Приготовление напитков"/>
    <s v="Приготовление чая и кофе"/>
    <s v="Приготовление напитков прочее"/>
    <m/>
    <x v="1"/>
    <x v="1"/>
    <s v="да"/>
    <n v="0"/>
    <n v="0"/>
    <n v="0"/>
    <n v="2"/>
    <n v="0"/>
    <n v="2"/>
    <n v="2"/>
    <n v="0"/>
    <n v="2"/>
    <n v="6"/>
    <n v="20921.669999999998"/>
    <n v="35"/>
    <n v="6.7620675638910236E-5"/>
    <n v="6.338604637685359E-5"/>
  </r>
  <r>
    <s v="DIY"/>
    <x v="4"/>
    <s v="Строительство и ремонт"/>
    <s v="Водоснабжение и отопление"/>
    <s v="Приборы учета и измерений"/>
    <s v="Приборы учета и измерений"/>
    <m/>
    <x v="1"/>
    <x v="0"/>
    <s v="да"/>
    <n v="1"/>
    <n v="0"/>
    <n v="1"/>
    <n v="0"/>
    <n v="0"/>
    <n v="0"/>
    <n v="-1"/>
    <n v="0"/>
    <n v="-1"/>
    <n v="1"/>
    <n v="20721"/>
    <n v="9"/>
    <n v="6.6972092567842777E-5"/>
    <n v="1.629926906833378E-5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и для гриля"/>
    <m/>
    <x v="1"/>
    <x v="2"/>
    <s v="да"/>
    <n v="0"/>
    <n v="0"/>
    <n v="0"/>
    <n v="0"/>
    <n v="0"/>
    <n v="0"/>
    <n v="0"/>
    <n v="0"/>
    <n v="0"/>
    <n v="5"/>
    <n v="20201.980000000003"/>
    <n v="25"/>
    <n v="6.5294574326225021E-5"/>
    <n v="4.5275747412038275E-5"/>
  </r>
  <r>
    <s v="TOYS"/>
    <x v="3"/>
    <s v="Одежда"/>
    <s v="Верхняя одежда"/>
    <s v="Верхняя одежда для мужчин"/>
    <s v="Жилет для мужчин"/>
    <m/>
    <x v="0"/>
    <x v="2"/>
    <s v="да"/>
    <n v="0"/>
    <n v="0"/>
    <n v="0"/>
    <n v="0"/>
    <n v="0"/>
    <n v="0"/>
    <n v="0"/>
    <n v="0"/>
    <n v="0"/>
    <n v="45"/>
    <n v="225674"/>
    <n v="79"/>
    <n v="7.2939819594398676E-4"/>
    <n v="1.4307136182204096E-4"/>
  </r>
  <r>
    <s v="TOYS"/>
    <x v="3"/>
    <s v="Одежда"/>
    <s v="Верхняя одежда"/>
    <s v="Верхняя одежда для мужчин"/>
    <s v="Куртка для мужчин"/>
    <m/>
    <x v="0"/>
    <x v="2"/>
    <s v="да"/>
    <n v="0"/>
    <n v="0"/>
    <n v="0"/>
    <n v="0"/>
    <n v="0"/>
    <n v="0"/>
    <n v="0"/>
    <n v="0"/>
    <n v="0"/>
    <n v="210"/>
    <n v="1231096.2099999997"/>
    <n v="391"/>
    <n v="3.9790111160677762E-3"/>
    <n v="7.0811268952427871E-4"/>
  </r>
  <r>
    <s v="HOUSEHOLD"/>
    <x v="4"/>
    <s v="Товары для дома"/>
    <s v="Приготовление пищи"/>
    <s v="Разделка и нарезка продуктов"/>
    <s v="Топорики, молотки, размягчители для мяса"/>
    <m/>
    <x v="1"/>
    <x v="0"/>
    <s v="да"/>
    <n v="0"/>
    <n v="0"/>
    <n v="0"/>
    <n v="1"/>
    <n v="0"/>
    <n v="1"/>
    <n v="1"/>
    <n v="0"/>
    <n v="1"/>
    <n v="5"/>
    <n v="20150.52"/>
    <n v="37"/>
    <n v="6.5128251084897791E-5"/>
    <n v="6.7008106169816651E-5"/>
  </r>
  <r>
    <s v="FOODZOO"/>
    <x v="2"/>
    <s v="Гигиена"/>
    <s v="Бумажная продукция"/>
    <s v="Бумажные салфетки и платки"/>
    <s v="Бумажные салфетки для лица"/>
    <m/>
    <x v="1"/>
    <x v="0"/>
    <s v="да"/>
    <n v="1"/>
    <n v="0"/>
    <n v="1"/>
    <n v="1"/>
    <n v="0"/>
    <n v="1"/>
    <n v="0"/>
    <n v="0"/>
    <n v="0"/>
    <n v="2"/>
    <n v="19858.45"/>
    <n v="181"/>
    <n v="6.4184255183334662E-5"/>
    <n v="3.2779641126315715E-4"/>
  </r>
  <r>
    <s v="TOYS"/>
    <x v="2"/>
    <s v="Детская гигиена и уход"/>
    <s v="Уход за детьми"/>
    <s v="Мыло детское"/>
    <s v="Жидкое детское мыло"/>
    <m/>
    <x v="1"/>
    <x v="0"/>
    <s v="да"/>
    <n v="10"/>
    <n v="0"/>
    <n v="10"/>
    <n v="10"/>
    <n v="0"/>
    <n v="10"/>
    <n v="0"/>
    <n v="0"/>
    <n v="0"/>
    <n v="6"/>
    <n v="19682"/>
    <n v="76"/>
    <n v="6.3613953280260681E-5"/>
    <n v="1.3763827213259636E-4"/>
  </r>
  <r>
    <s v="BEAUTY&amp;HEALTH&amp; PHARMA"/>
    <x v="2"/>
    <s v="Гигиена"/>
    <s v="Урология"/>
    <s v="Подгузники и впитывающее белье для взрослых"/>
    <s v="Подгузники для взрослых"/>
    <m/>
    <x v="1"/>
    <x v="0"/>
    <s v="нет"/>
    <n v="0"/>
    <n v="0"/>
    <n v="0"/>
    <n v="0"/>
    <n v="0"/>
    <n v="0"/>
    <n v="0"/>
    <n v="0"/>
    <n v="0"/>
    <n v="6"/>
    <n v="19606.96"/>
    <n v="15"/>
    <n v="6.3371417407171016E-5"/>
    <n v="2.7165448447222968E-5"/>
  </r>
  <r>
    <s v="FOODZOO"/>
    <x v="2"/>
    <s v="Детская гигиена и уход"/>
    <s v="Детская гигиена"/>
    <s v="Ватная продукция детская"/>
    <s v="Ватная продукция детская"/>
    <m/>
    <x v="1"/>
    <x v="0"/>
    <s v="да"/>
    <n v="0"/>
    <n v="0"/>
    <n v="0"/>
    <n v="0"/>
    <n v="0"/>
    <n v="0"/>
    <n v="0"/>
    <n v="0"/>
    <n v="0"/>
    <n v="6"/>
    <n v="19295.510000000002"/>
    <n v="75"/>
    <n v="6.2364783642861649E-5"/>
    <n v="1.3582724223611483E-4"/>
  </r>
  <r>
    <s v="BEAUTY&amp;HEALTH&amp; PHARMA"/>
    <x v="2"/>
    <s v="Уход"/>
    <s v="Средства для душа"/>
    <s v="Мужские гели"/>
    <s v="Мужские гели"/>
    <m/>
    <x v="1"/>
    <x v="1"/>
    <s v="да"/>
    <n v="6"/>
    <n v="0"/>
    <n v="6"/>
    <n v="6"/>
    <n v="0"/>
    <n v="6"/>
    <n v="0"/>
    <n v="0"/>
    <n v="0"/>
    <n v="9"/>
    <n v="18780.199999999997"/>
    <n v="92"/>
    <n v="6.0699256447208178E-5"/>
    <n v="1.6661475047630086E-4"/>
  </r>
  <r>
    <s v="HOUSEHOLD"/>
    <x v="4"/>
    <s v="Товары для дома"/>
    <s v="Приготовление пищи"/>
    <s v="Товары для выпечки и приготовления"/>
    <s v="Бумага для выпечки"/>
    <m/>
    <x v="1"/>
    <x v="0"/>
    <s v="да"/>
    <n v="4"/>
    <n v="0"/>
    <n v="4"/>
    <n v="5"/>
    <n v="0"/>
    <n v="5"/>
    <n v="1"/>
    <n v="0"/>
    <n v="1"/>
    <n v="3"/>
    <n v="18564.830000000002"/>
    <n v="443"/>
    <n v="6.0003161684583983E-5"/>
    <n v="8.0228624414131831E-4"/>
  </r>
  <r>
    <s v="HOUSEHOLD"/>
    <x v="4"/>
    <s v="Мебель"/>
    <s v="Хранение вещей и одежды и организация порядка"/>
    <s v="Хранение вещей и одежды"/>
    <s v="Коробы, кофры, органайзеры"/>
    <m/>
    <x v="1"/>
    <x v="0"/>
    <s v="да"/>
    <n v="4"/>
    <n v="0"/>
    <n v="4"/>
    <n v="5"/>
    <n v="0"/>
    <n v="5"/>
    <n v="1"/>
    <n v="0"/>
    <n v="1"/>
    <n v="18"/>
    <n v="18466.260000000002"/>
    <n v="101"/>
    <n v="5.9684574784124918E-5"/>
    <n v="1.8291401954463463E-4"/>
  </r>
  <r>
    <s v="HOUSEHOLD"/>
    <x v="4"/>
    <s v="Товары для дома"/>
    <s v="Приготовление пищи"/>
    <s v="Товары для выпечки и запекания"/>
    <s v="Товары для выпечки прочие"/>
    <m/>
    <x v="1"/>
    <x v="0"/>
    <s v="да"/>
    <n v="1"/>
    <n v="0"/>
    <n v="1"/>
    <n v="3"/>
    <n v="0"/>
    <n v="3"/>
    <n v="2"/>
    <n v="0"/>
    <n v="2"/>
    <n v="4"/>
    <n v="17175.71"/>
    <n v="58"/>
    <n v="5.5513403795107515E-5"/>
    <n v="1.0503973399592881E-4"/>
  </r>
  <r>
    <s v="HOUSEHOLD"/>
    <x v="4"/>
    <s v="Товары для дома"/>
    <s v="Освещение"/>
    <s v="Электрические лампы"/>
    <s v="Электрические лампы"/>
    <m/>
    <x v="1"/>
    <x v="0"/>
    <s v="да"/>
    <n v="1"/>
    <n v="0"/>
    <n v="1"/>
    <n v="0"/>
    <n v="0"/>
    <n v="0"/>
    <n v="-1"/>
    <n v="0"/>
    <n v="-1"/>
    <n v="4"/>
    <n v="16940.97"/>
    <n v="52"/>
    <n v="5.475470349061568E-5"/>
    <n v="9.4173554617039612E-5"/>
  </r>
  <r>
    <s v="HOUSEHOLD"/>
    <x v="4"/>
    <s v="Товары для дома"/>
    <s v="Освещение"/>
    <s v="Светодиодная лента, гибкий неон, дюралайт"/>
    <s v="Светодиодная лента, гибкий неон, дюралайт"/>
    <m/>
    <x v="1"/>
    <x v="0"/>
    <s v="да"/>
    <n v="0"/>
    <n v="0"/>
    <n v="0"/>
    <n v="0"/>
    <n v="0"/>
    <n v="0"/>
    <n v="0"/>
    <n v="0"/>
    <n v="0"/>
    <n v="7"/>
    <n v="16643.45"/>
    <n v="22"/>
    <n v="5.3793092710210072E-5"/>
    <n v="3.9842657722593683E-5"/>
  </r>
  <r>
    <s v="BEAUTY&amp;HEALTH&amp; PHARMA"/>
    <x v="2"/>
    <s v="Уход"/>
    <s v="Средства по уходу за волосами"/>
    <s v="Шампуни"/>
    <s v="Шампуни мужские"/>
    <m/>
    <x v="1"/>
    <x v="0"/>
    <s v="да"/>
    <n v="13"/>
    <n v="0"/>
    <n v="13"/>
    <n v="13"/>
    <n v="0"/>
    <n v="13"/>
    <n v="0"/>
    <n v="0"/>
    <n v="0"/>
    <n v="14"/>
    <n v="16506.02"/>
    <n v="88"/>
    <n v="5.3348906875472434E-5"/>
    <n v="1.5937063089037473E-4"/>
  </r>
  <r>
    <s v="HOUSEHOLD"/>
    <x v="4"/>
    <s v="Товары для дома"/>
    <s v="Сервировка стола"/>
    <s v="Аксессуары для сервировки"/>
    <s v="Формы для льда"/>
    <m/>
    <x v="1"/>
    <x v="0"/>
    <s v="да"/>
    <n v="0"/>
    <n v="0"/>
    <n v="0"/>
    <n v="3"/>
    <n v="0"/>
    <n v="3"/>
    <n v="3"/>
    <n v="0"/>
    <n v="3"/>
    <n v="11"/>
    <n v="16212.849999999999"/>
    <n v="49"/>
    <n v="5.2401355677262181E-5"/>
    <n v="8.874046492759502E-5"/>
  </r>
  <r>
    <s v="DIY"/>
    <x v="4"/>
    <s v="Строительство и ремонт"/>
    <s v="Инструменты"/>
    <s v="Средства индивидуальной защиты (СИЗ)"/>
    <s v="Средства индивидуальной защиты (СИЗ)"/>
    <m/>
    <x v="1"/>
    <x v="0"/>
    <s v="да"/>
    <n v="1"/>
    <n v="0"/>
    <n v="1"/>
    <n v="5"/>
    <n v="0"/>
    <n v="5"/>
    <n v="4"/>
    <n v="0"/>
    <n v="4"/>
    <n v="21"/>
    <n v="15319.6"/>
    <n v="136"/>
    <n v="4.9514293195421271E-5"/>
    <n v="2.4630006592148824E-4"/>
  </r>
  <r>
    <s v="DIY"/>
    <x v="6"/>
    <s v="Спорт и активный отдых"/>
    <s v="Туризм и спелеология"/>
    <s v="Туризм"/>
    <s v="Туристическая мебель"/>
    <m/>
    <x v="0"/>
    <x v="2"/>
    <s v="да"/>
    <n v="0"/>
    <n v="0"/>
    <n v="0"/>
    <n v="0"/>
    <n v="0"/>
    <n v="0"/>
    <n v="0"/>
    <n v="0"/>
    <n v="0"/>
    <n v="0"/>
    <n v="0"/>
    <n v="0"/>
    <n v="0"/>
    <n v="0"/>
  </r>
  <r>
    <s v="DIY"/>
    <x v="6"/>
    <s v="Спорт и активный отдых"/>
    <s v="Водные виды спорта"/>
    <s v="Доски и водные лыжи"/>
    <s v="Сапы"/>
    <m/>
    <x v="0"/>
    <x v="2"/>
    <s v="нет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Ловушка для насекомых"/>
    <m/>
    <x v="1"/>
    <x v="2"/>
    <s v="да"/>
    <n v="0"/>
    <n v="0"/>
    <n v="0"/>
    <n v="0"/>
    <n v="0"/>
    <n v="0"/>
    <n v="0"/>
    <n v="0"/>
    <n v="0"/>
    <n v="3"/>
    <n v="15174.16"/>
    <n v="41"/>
    <n v="4.9044218336917E-5"/>
    <n v="7.4252225755742774E-5"/>
  </r>
  <r>
    <s v="HOUSEHOLD"/>
    <x v="4"/>
    <s v="Товары для дома"/>
    <s v="Посуда и кухонные принадлежности"/>
    <s v="Одноразовая посуда"/>
    <s v="Стаканы, кружки, рюмки одноразовые"/>
    <m/>
    <x v="1"/>
    <x v="0"/>
    <s v="да"/>
    <n v="0"/>
    <n v="0"/>
    <n v="0"/>
    <n v="3"/>
    <n v="0"/>
    <n v="3"/>
    <n v="3"/>
    <n v="0"/>
    <n v="3"/>
    <n v="2"/>
    <n v="15046"/>
    <n v="43"/>
    <n v="4.8629993956650857E-5"/>
    <n v="7.7874285548705836E-5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взрослых кошек"/>
    <m/>
    <x v="1"/>
    <x v="0"/>
    <s v="да"/>
    <n v="1"/>
    <n v="0"/>
    <n v="1"/>
    <n v="1"/>
    <n v="0"/>
    <n v="1"/>
    <n v="0"/>
    <n v="0"/>
    <n v="0"/>
    <n v="5"/>
    <n v="14615.87"/>
    <n v="133"/>
    <n v="4.7239776004997646E-5"/>
    <n v="2.4086697623204364E-4"/>
  </r>
  <r>
    <s v="DIY"/>
    <x v="4"/>
    <s v="Строительство и ремонт"/>
    <s v="Инструменты"/>
    <s v="Контрольно-измерительный инструмент"/>
    <s v="Контрольно-измерительный инструмент"/>
    <m/>
    <x v="1"/>
    <x v="0"/>
    <s v="да"/>
    <n v="0"/>
    <n v="0"/>
    <n v="0"/>
    <n v="0"/>
    <n v="0"/>
    <n v="0"/>
    <n v="0"/>
    <n v="0"/>
    <n v="0"/>
    <n v="6"/>
    <n v="14277.71"/>
    <n v="30"/>
    <n v="4.6146813173920874E-5"/>
    <n v="5.4330896894445936E-5"/>
  </r>
  <r>
    <s v="HOUSEHOLD"/>
    <x v="4"/>
    <s v="Товары для дома"/>
    <s v="Приготовление пищи"/>
    <s v="Кухонная утварь"/>
    <s v="Половник"/>
    <m/>
    <x v="1"/>
    <x v="0"/>
    <s v="да"/>
    <n v="0"/>
    <n v="0"/>
    <n v="0"/>
    <n v="2"/>
    <n v="0"/>
    <n v="2"/>
    <n v="2"/>
    <n v="0"/>
    <n v="2"/>
    <n v="10"/>
    <n v="14135.79"/>
    <n v="42"/>
    <n v="4.5688115264687335E-5"/>
    <n v="7.6063255652224305E-5"/>
  </r>
  <r>
    <s v="TOYS"/>
    <x v="3"/>
    <s v="Аксессуары"/>
    <s v="Перчатки и варежки"/>
    <s v="Перчатки и варежки"/>
    <s v="Перчатки"/>
    <m/>
    <x v="0"/>
    <x v="2"/>
    <s v="да"/>
    <n v="0"/>
    <n v="0"/>
    <n v="0"/>
    <n v="0"/>
    <n v="0"/>
    <n v="0"/>
    <n v="0"/>
    <n v="0"/>
    <n v="0"/>
    <n v="19"/>
    <n v="34881.51"/>
    <n v="79"/>
    <n v="1.1274010504445411E-4"/>
    <n v="1.4307136182204096E-4"/>
  </r>
  <r>
    <s v="HOUSEHOLD"/>
    <x v="4"/>
    <s v="Товары для дома"/>
    <s v="Товары для ванной комнаты"/>
    <s v="Полки, держатели, органайзеры"/>
    <s v="Полка для ванной"/>
    <m/>
    <x v="1"/>
    <x v="0"/>
    <s v="нет"/>
    <n v="0"/>
    <n v="0"/>
    <n v="0"/>
    <n v="2"/>
    <n v="0"/>
    <n v="2"/>
    <n v="2"/>
    <n v="0"/>
    <n v="2"/>
    <n v="10"/>
    <n v="13902.58"/>
    <n v="24"/>
    <n v="4.4934360054622829E-5"/>
    <n v="4.3464717515556745E-5"/>
  </r>
  <r>
    <s v="DIY"/>
    <x v="6"/>
    <s v="Спорт и активный отдых"/>
    <s v="Зимние виды спорта"/>
    <s v="Одежда для горных лыж и сноуборда"/>
    <s v="Термобелье и изотермические комбинезоны"/>
    <m/>
    <x v="0"/>
    <x v="2"/>
    <s v="да"/>
    <n v="0"/>
    <n v="0"/>
    <n v="0"/>
    <n v="0"/>
    <n v="0"/>
    <n v="0"/>
    <n v="0"/>
    <n v="0"/>
    <n v="0"/>
    <n v="26"/>
    <n v="26299.149999999994"/>
    <n v="66"/>
    <n v="8.5001163469696541E-5"/>
    <n v="1.1952797316778106E-4"/>
  </r>
  <r>
    <s v="DIY"/>
    <x v="6"/>
    <s v="Спорт и активный отдых"/>
    <s v="Спортивные игры"/>
    <s v="Бадминтон"/>
    <s v="Воланы для бадминтона"/>
    <m/>
    <x v="0"/>
    <x v="2"/>
    <s v="да"/>
    <n v="0"/>
    <n v="0"/>
    <n v="0"/>
    <n v="0"/>
    <n v="0"/>
    <n v="0"/>
    <n v="0"/>
    <n v="0"/>
    <n v="0"/>
    <n v="2"/>
    <n v="1958"/>
    <n v="3"/>
    <n v="6.3284280318438371E-6"/>
    <n v="5.4330896894445931E-6"/>
  </r>
  <r>
    <s v="HOUSEHOLD"/>
    <x v="4"/>
    <s v="Товары для дома"/>
    <s v="Сервировка стола"/>
    <s v="Столовые приборы"/>
    <s v="Столовые ножи"/>
    <m/>
    <x v="1"/>
    <x v="0"/>
    <s v="да"/>
    <n v="0"/>
    <n v="0"/>
    <n v="0"/>
    <n v="5"/>
    <n v="0"/>
    <n v="5"/>
    <n v="5"/>
    <n v="0"/>
    <n v="5"/>
    <n v="10"/>
    <n v="13371.66"/>
    <n v="33"/>
    <n v="4.3218379967459127E-5"/>
    <n v="5.9763986583890528E-5"/>
  </r>
  <r>
    <s v="HOUSEHOLD"/>
    <x v="4"/>
    <s v="Товары для дома"/>
    <s v="Сервировка стола"/>
    <s v="Столовая посуда"/>
    <s v="Конфетницы, фруктовницы, тортовницы"/>
    <m/>
    <x v="1"/>
    <x v="0"/>
    <s v="да"/>
    <n v="1"/>
    <n v="0"/>
    <n v="1"/>
    <n v="2"/>
    <n v="0"/>
    <n v="2"/>
    <n v="1"/>
    <n v="0"/>
    <n v="1"/>
    <n v="1"/>
    <n v="13064"/>
    <n v="38"/>
    <n v="4.2223995816142951E-5"/>
    <n v="6.8819136066298182E-5"/>
  </r>
  <r>
    <s v="HOUSEHOLD"/>
    <x v="4"/>
    <s v="Товары для дома"/>
    <s v="Хранение посуды и продуктов"/>
    <s v="Хранение посуды"/>
    <s v="Подставка для столовых приборов"/>
    <m/>
    <x v="1"/>
    <x v="0"/>
    <s v="нет"/>
    <n v="0"/>
    <n v="0"/>
    <n v="0"/>
    <n v="1"/>
    <n v="0"/>
    <n v="1"/>
    <n v="1"/>
    <n v="0"/>
    <n v="1"/>
    <n v="6"/>
    <n v="12647"/>
    <n v="14"/>
    <n v="4.0876215178104704E-5"/>
    <n v="2.5354418550741437E-5"/>
  </r>
  <r>
    <s v="DIY"/>
    <x v="6"/>
    <s v="Спорт и активный отдых"/>
    <s v="Туризм и спелеология"/>
    <s v="Туризм"/>
    <s v="Спальники и аксессуары"/>
    <m/>
    <x v="0"/>
    <x v="2"/>
    <s v="да"/>
    <n v="0"/>
    <n v="0"/>
    <n v="0"/>
    <n v="0"/>
    <n v="0"/>
    <n v="0"/>
    <n v="0"/>
    <n v="0"/>
    <n v="0"/>
    <n v="18"/>
    <n v="176595.93000000002"/>
    <n v="126"/>
    <n v="5.7077356165553231E-4"/>
    <n v="2.2818976695667293E-4"/>
  </r>
  <r>
    <s v="FOODZOO"/>
    <x v="1"/>
    <s v="Детские товары"/>
    <s v="Детская комната"/>
    <s v="Безопасность ребенка"/>
    <s v="Аспираторы детские"/>
    <m/>
    <x v="1"/>
    <x v="0"/>
    <s v="да"/>
    <n v="2"/>
    <n v="0"/>
    <n v="2"/>
    <n v="3"/>
    <n v="0"/>
    <n v="3"/>
    <n v="1"/>
    <n v="0"/>
    <n v="1"/>
    <n v="6"/>
    <n v="12487"/>
    <n v="18"/>
    <n v="4.0359081120344225E-5"/>
    <n v="3.259853813666756E-5"/>
  </r>
  <r>
    <s v="HOUSEHOLD"/>
    <x v="4"/>
    <s v="Праздничные и сезонные товары"/>
    <s v="Новогодние товары"/>
    <s v="Электрические гирлянды"/>
    <s v="Гирлянда электрическая"/>
    <m/>
    <x v="1"/>
    <x v="2"/>
    <s v="да"/>
    <n v="0"/>
    <n v="0"/>
    <n v="0"/>
    <n v="0"/>
    <n v="0"/>
    <n v="0"/>
    <n v="0"/>
    <n v="0"/>
    <n v="0"/>
    <n v="14"/>
    <n v="12284.85"/>
    <n v="80"/>
    <n v="3.9705714559242478E-5"/>
    <n v="1.4488239171852249E-4"/>
  </r>
  <r>
    <s v="FOODZOO"/>
    <x v="2"/>
    <s v="Продукция для животных"/>
    <s v="Аксессуары и игрушки"/>
    <s v="Коррекция поведения и поглотители запаха"/>
    <s v="Поглотители запаха"/>
    <m/>
    <x v="2"/>
    <x v="3"/>
    <s v="да"/>
    <n v="1"/>
    <n v="0"/>
    <n v="1"/>
    <n v="1"/>
    <n v="0"/>
    <n v="1"/>
    <n v="0"/>
    <n v="0"/>
    <n v="0"/>
    <n v="4"/>
    <n v="12059"/>
    <n v="32"/>
    <n v="3.8975747515834949E-5"/>
    <n v="5.7952956687408997E-5"/>
  </r>
  <r>
    <s v="DIY"/>
    <x v="4"/>
    <s v="Строительство и ремонт"/>
    <s v="Крепеж и фурнитура"/>
    <s v="Товары для хозяйственных нужд"/>
    <s v="Товары для хозяйственных нужд"/>
    <m/>
    <x v="1"/>
    <x v="0"/>
    <s v="да"/>
    <n v="0"/>
    <n v="0"/>
    <n v="0"/>
    <n v="0"/>
    <n v="0"/>
    <n v="0"/>
    <n v="0"/>
    <n v="0"/>
    <n v="0"/>
    <n v="12"/>
    <n v="11965"/>
    <n v="26"/>
    <n v="3.8671931256900671E-5"/>
    <n v="4.7086777308519806E-5"/>
  </r>
  <r>
    <s v="DIY"/>
    <x v="4"/>
    <s v="Строительство и ремонт"/>
    <s v="Сантехника"/>
    <s v="Унитазы/Сливные баки/Биде"/>
    <s v="Унитазы/Сливные баки/Биде"/>
    <m/>
    <x v="1"/>
    <x v="0"/>
    <s v="нет"/>
    <n v="0"/>
    <n v="0"/>
    <n v="0"/>
    <n v="0"/>
    <n v="0"/>
    <n v="0"/>
    <n v="0"/>
    <n v="0"/>
    <n v="0"/>
    <n v="7"/>
    <n v="11460"/>
    <n v="8"/>
    <n v="3.7039726887094165E-5"/>
    <n v="1.4488239171852249E-5"/>
  </r>
  <r>
    <s v="FOODZOO"/>
    <x v="2"/>
    <s v="Гигиена"/>
    <s v="Средства личной гигиены"/>
    <s v="Аксессуары для душа"/>
    <s v="Губки для тела"/>
    <m/>
    <x v="1"/>
    <x v="0"/>
    <s v="да"/>
    <n v="0"/>
    <n v="0"/>
    <n v="0"/>
    <n v="0"/>
    <n v="0"/>
    <n v="0"/>
    <n v="0"/>
    <n v="0"/>
    <n v="0"/>
    <n v="3"/>
    <n v="11407.93"/>
    <n v="36"/>
    <n v="3.6871432072171742E-5"/>
    <n v="6.519707627333512E-5"/>
  </r>
  <r>
    <s v="HOUSEHOLD"/>
    <x v="4"/>
    <s v="Товары для дома"/>
    <s v="Сервировка стола"/>
    <s v="Аксессуары для сервировки"/>
    <s v="Зубочистки и подставки для зубочисток"/>
    <m/>
    <x v="1"/>
    <x v="1"/>
    <s v="да"/>
    <n v="0"/>
    <n v="0"/>
    <n v="0"/>
    <n v="2"/>
    <n v="0"/>
    <n v="2"/>
    <n v="2"/>
    <n v="0"/>
    <n v="2"/>
    <n v="3"/>
    <n v="11154.78"/>
    <n v="34"/>
    <n v="3.605322903015884E-5"/>
    <n v="6.1575016480372059E-5"/>
  </r>
  <r>
    <s v="HOUSEHOLD"/>
    <x v="4"/>
    <s v="Мебель"/>
    <s v="Хранение вещей и одежды и организация порядка"/>
    <s v="Хранение вещей и одежды"/>
    <s v="Вакуумные пакеты для хранения вещей"/>
    <m/>
    <x v="1"/>
    <x v="0"/>
    <s v="да"/>
    <n v="5"/>
    <n v="0"/>
    <n v="5"/>
    <n v="3"/>
    <n v="0"/>
    <n v="3"/>
    <n v="-2"/>
    <n v="0"/>
    <n v="-2"/>
    <n v="10"/>
    <n v="10840"/>
    <n v="45"/>
    <n v="3.5035832413272317E-5"/>
    <n v="8.1496345341668897E-5"/>
  </r>
  <r>
    <s v="BEAUTY&amp;HEALTH&amp; PHARMA"/>
    <x v="2"/>
    <s v="Гигиена"/>
    <s v="Женская гигиена"/>
    <s v="Товары для мам"/>
    <s v="Вкладыши в бюстгалтер"/>
    <m/>
    <x v="1"/>
    <x v="0"/>
    <s v="да"/>
    <n v="1"/>
    <n v="0"/>
    <n v="1"/>
    <n v="1"/>
    <n v="0"/>
    <n v="1"/>
    <n v="0"/>
    <n v="0"/>
    <n v="0"/>
    <n v="2"/>
    <n v="10487.59"/>
    <n v="95"/>
    <n v="3.3896812330176258E-5"/>
    <n v="1.7204784016574545E-4"/>
  </r>
  <r>
    <s v="FOODZOO"/>
    <x v="2"/>
    <s v="Продукция для животных"/>
    <s v="Корма и лакомства для кошек"/>
    <s v="Лакомства для кошек и котят"/>
    <s v="Прочие корма и лакомства для кошек"/>
    <m/>
    <x v="1"/>
    <x v="0"/>
    <s v="да"/>
    <n v="0"/>
    <n v="0"/>
    <n v="0"/>
    <n v="0"/>
    <n v="0"/>
    <n v="0"/>
    <n v="0"/>
    <n v="0"/>
    <n v="0"/>
    <n v="12"/>
    <n v="9809.7300000000014"/>
    <n v="155"/>
    <n v="3.1705909252716781E-5"/>
    <n v="2.8070963395463735E-4"/>
  </r>
  <r>
    <s v="DIY"/>
    <x v="4"/>
    <s v="Мебель"/>
    <s v="Хранение вещей и одежды и организация порядка"/>
    <s v="Вешалки для одежды"/>
    <s v="Крючки для одежды"/>
    <m/>
    <x v="1"/>
    <x v="0"/>
    <s v="нет"/>
    <n v="0"/>
    <n v="0"/>
    <n v="0"/>
    <n v="1"/>
    <n v="0"/>
    <n v="1"/>
    <n v="1"/>
    <n v="0"/>
    <n v="1"/>
    <n v="21"/>
    <n v="9661.25"/>
    <n v="128"/>
    <n v="3.1226008847115053E-5"/>
    <n v="2.3181182674963599E-4"/>
  </r>
  <r>
    <s v="HOUSEHOLD"/>
    <x v="4"/>
    <s v="Товары для дома"/>
    <s v="Товары для ванной комнаты"/>
    <s v="Аксессуары для ванной комнаты"/>
    <s v="Аксессуары для ванной прочее"/>
    <m/>
    <x v="1"/>
    <x v="0"/>
    <s v="нет"/>
    <n v="0"/>
    <n v="0"/>
    <n v="0"/>
    <n v="2"/>
    <n v="0"/>
    <n v="2"/>
    <n v="2"/>
    <n v="0"/>
    <n v="2"/>
    <n v="19"/>
    <n v="9433.9700000000012"/>
    <n v="55"/>
    <n v="3.0491419918066299E-5"/>
    <n v="9.9606644306484218E-5"/>
  </r>
  <r>
    <s v="FOODZOO"/>
    <x v="2"/>
    <s v="Гигиена"/>
    <s v="Дезодоранты"/>
    <s v="Дезодоранты мужские"/>
    <s v="Дезодоранты мужские гели"/>
    <m/>
    <x v="1"/>
    <x v="0"/>
    <s v="да"/>
    <n v="0"/>
    <n v="0"/>
    <n v="0"/>
    <n v="0"/>
    <n v="0"/>
    <n v="0"/>
    <n v="0"/>
    <n v="0"/>
    <n v="0"/>
    <n v="4"/>
    <n v="9290.41"/>
    <n v="34"/>
    <n v="3.0027421384740709E-5"/>
    <n v="6.1575016480372059E-5"/>
  </r>
  <r>
    <s v="DIY"/>
    <x v="4"/>
    <s v="Праздничные и сезонные товары"/>
    <s v="Товары для летнего отдыха"/>
    <s v="Баня и сауна"/>
    <s v="Набор банных принадлежностей"/>
    <m/>
    <x v="1"/>
    <x v="2"/>
    <s v="да"/>
    <n v="0"/>
    <n v="0"/>
    <n v="0"/>
    <n v="0"/>
    <n v="0"/>
    <n v="0"/>
    <n v="0"/>
    <n v="0"/>
    <n v="0"/>
    <n v="5"/>
    <n v="9159.91"/>
    <n v="16"/>
    <n v="2.9605633918879817E-5"/>
    <n v="2.8976478343704499E-5"/>
  </r>
  <r>
    <s v="TOYS"/>
    <x v="1"/>
    <s v="Детские товары"/>
    <s v="Детская комната"/>
    <s v="Аксессуары для кормления"/>
    <s v="Прорезыватели детские"/>
    <m/>
    <x v="1"/>
    <x v="0"/>
    <s v="да"/>
    <n v="4"/>
    <n v="0"/>
    <n v="4"/>
    <n v="2"/>
    <n v="0"/>
    <n v="2"/>
    <n v="-2"/>
    <n v="0"/>
    <n v="-2"/>
    <n v="14"/>
    <n v="9156.2199999999993"/>
    <n v="25"/>
    <n v="2.9593707514672716E-5"/>
    <n v="4.5275747412038275E-5"/>
  </r>
  <r>
    <s v="FOODZOO"/>
    <x v="2"/>
    <s v="Чай"/>
    <s v="Подарочные наборы чайные"/>
    <s v="Подарочные наборы чайные"/>
    <s v="Подарочные наборы чайные"/>
    <m/>
    <x v="1"/>
    <x v="0"/>
    <s v="да"/>
    <n v="1"/>
    <n v="0"/>
    <n v="1"/>
    <n v="1"/>
    <n v="0"/>
    <n v="1"/>
    <n v="0"/>
    <n v="0"/>
    <n v="0"/>
    <n v="6"/>
    <n v="9116.51"/>
    <n v="11"/>
    <n v="2.9465361305712291E-5"/>
    <n v="1.9921328861296842E-5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Освещение с потолка"/>
    <m/>
    <x v="1"/>
    <x v="0"/>
    <s v="да"/>
    <n v="5"/>
    <n v="0"/>
    <n v="5"/>
    <n v="0"/>
    <n v="0"/>
    <n v="0"/>
    <n v="-5"/>
    <n v="0"/>
    <n v="-5"/>
    <n v="12"/>
    <n v="9063.7700000000023"/>
    <n v="24"/>
    <n v="2.9294900991922998E-5"/>
    <n v="4.3464717515556745E-5"/>
  </r>
  <r>
    <s v="HOUSEHOLD"/>
    <x v="4"/>
    <s v="Товары для дома"/>
    <s v="Декор помещений"/>
    <s v="Декоративные объекты"/>
    <s v="Часы"/>
    <m/>
    <x v="1"/>
    <x v="0"/>
    <s v="да"/>
    <n v="0"/>
    <n v="0"/>
    <n v="0"/>
    <n v="0"/>
    <n v="0"/>
    <n v="0"/>
    <n v="0"/>
    <n v="0"/>
    <n v="0"/>
    <n v="10"/>
    <n v="8667.7800000000007"/>
    <n v="11"/>
    <n v="2.8015026519844425E-5"/>
    <n v="1.9921328861296842E-5"/>
  </r>
  <r>
    <s v="HOUSEHOLD"/>
    <x v="4"/>
    <s v="Товары для дома"/>
    <s v="Приготовление пищи"/>
    <s v="Товары для выпечки и приготовления"/>
    <s v="Фольга"/>
    <m/>
    <x v="1"/>
    <x v="0"/>
    <s v="да"/>
    <n v="1"/>
    <n v="0"/>
    <n v="1"/>
    <n v="2"/>
    <n v="0"/>
    <n v="2"/>
    <n v="1"/>
    <n v="0"/>
    <n v="1"/>
    <n v="1"/>
    <n v="8436.32"/>
    <n v="160"/>
    <n v="2.7266927463536672E-5"/>
    <n v="2.8976478343704497E-4"/>
  </r>
  <r>
    <s v="TOYS"/>
    <x v="3"/>
    <s v="Аксессуары"/>
    <s v="Перчатки и варежки"/>
    <s v="Перчатки и варежки"/>
    <s v="Варежки"/>
    <m/>
    <x v="0"/>
    <x v="2"/>
    <s v="да"/>
    <n v="0"/>
    <n v="0"/>
    <n v="0"/>
    <n v="0"/>
    <n v="0"/>
    <n v="0"/>
    <n v="0"/>
    <n v="0"/>
    <n v="0"/>
    <n v="1"/>
    <n v="827"/>
    <n v="1"/>
    <n v="2.6729366610494656E-6"/>
    <n v="1.8110298964815312E-6"/>
  </r>
  <r>
    <s v="HOUSEHOLD"/>
    <x v="4"/>
    <s v="Праздничные и сезонные товары"/>
    <s v="Новогодние товары"/>
    <s v="Елочные украшения"/>
    <s v="Елочные игрушки"/>
    <m/>
    <x v="1"/>
    <x v="2"/>
    <s v="да"/>
    <n v="0"/>
    <n v="0"/>
    <n v="0"/>
    <n v="0"/>
    <n v="0"/>
    <n v="0"/>
    <n v="0"/>
    <n v="0"/>
    <n v="0"/>
    <n v="44"/>
    <n v="8232.8700000000008"/>
    <n v="159"/>
    <n v="2.6609359188215618E-5"/>
    <n v="2.8795375354056347E-4"/>
  </r>
  <r>
    <s v="FOODZOO"/>
    <x v="2"/>
    <s v="Бытовая химия"/>
    <s v="Средства для стирки"/>
    <s v="Хозяйственное мыло"/>
    <s v="Хозяйственное мыло"/>
    <m/>
    <x v="1"/>
    <x v="0"/>
    <s v="да"/>
    <n v="0"/>
    <n v="0"/>
    <n v="0"/>
    <n v="0"/>
    <n v="0"/>
    <n v="0"/>
    <n v="0"/>
    <n v="0"/>
    <n v="0"/>
    <n v="3"/>
    <n v="8092.7999999999993"/>
    <n v="31"/>
    <n v="2.6156640641524925E-5"/>
    <n v="5.6141926790927467E-5"/>
  </r>
  <r>
    <s v="DIY"/>
    <x v="4"/>
    <s v="Строительство и ремонт"/>
    <s v="Водоснабжение и отопление"/>
    <s v="Канализация и системы слива"/>
    <s v="Канализация и системы слива"/>
    <m/>
    <x v="1"/>
    <x v="0"/>
    <s v="да"/>
    <n v="0"/>
    <n v="0"/>
    <n v="0"/>
    <n v="0"/>
    <n v="0"/>
    <n v="0"/>
    <n v="0"/>
    <n v="0"/>
    <n v="0"/>
    <n v="26"/>
    <n v="8063.369999999999"/>
    <n v="71"/>
    <n v="2.6061520295775607E-5"/>
    <n v="1.2858312265018871E-4"/>
  </r>
  <r>
    <s v="DIY"/>
    <x v="4"/>
    <s v="Праздничные и сезонные товары"/>
    <s v="Товары для летнего отдыха"/>
    <s v="Барбекю, грили, коптильни, аксессуары"/>
    <s v="Решетка для шашлыка"/>
    <m/>
    <x v="1"/>
    <x v="1"/>
    <s v="да"/>
    <n v="0"/>
    <n v="0"/>
    <n v="0"/>
    <n v="0"/>
    <n v="0"/>
    <n v="0"/>
    <n v="0"/>
    <n v="0"/>
    <n v="0"/>
    <n v="8"/>
    <n v="7886.25"/>
    <n v="16"/>
    <n v="2.5489052893834762E-5"/>
    <n v="2.8976478343704499E-5"/>
  </r>
  <r>
    <s v="HOUSEHOLD"/>
    <x v="4"/>
    <s v="Праздничные и сезонные товары"/>
    <s v="Семена, удобрения и уход за растениями"/>
    <s v="Фермы для растений, коврики, проращиватели"/>
    <s v="Набор для выращивания"/>
    <m/>
    <x v="1"/>
    <x v="2"/>
    <s v="да"/>
    <n v="1"/>
    <n v="0"/>
    <n v="1"/>
    <n v="0"/>
    <n v="0"/>
    <n v="0"/>
    <n v="-1"/>
    <n v="0"/>
    <n v="-1"/>
    <n v="13"/>
    <n v="7681.56"/>
    <n v="61"/>
    <n v="2.4827476829566064E-5"/>
    <n v="1.104728236853734E-4"/>
  </r>
  <r>
    <s v="HOUSEHOLD"/>
    <x v="4"/>
    <s v="Праздничные и сезонные товары"/>
    <s v="Семена, удобрения и уход за растениями"/>
    <s v="Выращивание рассады"/>
    <s v="Горшки для рассады"/>
    <m/>
    <x v="1"/>
    <x v="2"/>
    <s v="да"/>
    <n v="1"/>
    <n v="0"/>
    <n v="1"/>
    <n v="0"/>
    <n v="0"/>
    <n v="0"/>
    <n v="-1"/>
    <n v="0"/>
    <n v="-1"/>
    <n v="7"/>
    <n v="7320.8"/>
    <n v="65"/>
    <n v="2.3661468812830627E-5"/>
    <n v="1.1771694327129953E-4"/>
  </r>
  <r>
    <s v="HOUSEHOLD"/>
    <x v="4"/>
    <s v="Праздничные и сезонные товары"/>
    <s v="Новогодние товары"/>
    <s v="Новогодние сувениры и аксессуары"/>
    <s v="Символ года"/>
    <m/>
    <x v="1"/>
    <x v="2"/>
    <s v="да"/>
    <n v="0"/>
    <n v="0"/>
    <n v="0"/>
    <n v="0"/>
    <n v="0"/>
    <n v="0"/>
    <n v="0"/>
    <n v="0"/>
    <n v="0"/>
    <n v="24"/>
    <n v="7289.2699999999995"/>
    <n v="242"/>
    <n v="2.3559561082573201E-5"/>
    <n v="4.3826923494853055E-4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комаров и мошек"/>
    <m/>
    <x v="1"/>
    <x v="2"/>
    <s v="да"/>
    <n v="0"/>
    <n v="0"/>
    <n v="0"/>
    <n v="0"/>
    <n v="0"/>
    <n v="0"/>
    <n v="0"/>
    <n v="0"/>
    <n v="0"/>
    <n v="4"/>
    <n v="6801.33"/>
    <n v="17"/>
    <n v="2.1982496131675406E-5"/>
    <n v="3.0787508240186029E-5"/>
  </r>
  <r>
    <s v="HOUSEHOLD"/>
    <x v="4"/>
    <s v="Товары для дома"/>
    <s v="Сервировка стола"/>
    <s v="Столовые приборы"/>
    <s v="Ложки чайные"/>
    <m/>
    <x v="1"/>
    <x v="0"/>
    <s v="да"/>
    <n v="0"/>
    <n v="0"/>
    <n v="0"/>
    <n v="5"/>
    <n v="0"/>
    <n v="5"/>
    <n v="5"/>
    <n v="0"/>
    <n v="5"/>
    <n v="2"/>
    <n v="6402"/>
    <n v="15"/>
    <n v="2.0691826486141087E-5"/>
    <n v="2.7165448447222968E-5"/>
  </r>
  <r>
    <s v="DIY"/>
    <x v="6"/>
    <s v="Спорт и активный отдых"/>
    <s v="Туризм и спелеология"/>
    <s v="Туризм"/>
    <s v="Туристические рюкзаки и сумки"/>
    <m/>
    <x v="0"/>
    <x v="2"/>
    <s v="да"/>
    <n v="0"/>
    <n v="0"/>
    <n v="0"/>
    <n v="0"/>
    <n v="0"/>
    <n v="0"/>
    <n v="0"/>
    <n v="0"/>
    <n v="0"/>
    <n v="4"/>
    <n v="25608.25"/>
    <n v="24"/>
    <n v="8.2768113966529591E-5"/>
    <n v="4.3464717515556745E-5"/>
  </r>
  <r>
    <s v="TOYS"/>
    <x v="1"/>
    <s v="Детские товары"/>
    <s v="Детская комната"/>
    <s v="Аксессуары для кормления"/>
    <s v="Молокоотсосы и аксессуары"/>
    <m/>
    <x v="1"/>
    <x v="0"/>
    <s v="да"/>
    <n v="2"/>
    <n v="0"/>
    <n v="2"/>
    <n v="0"/>
    <n v="0"/>
    <n v="0"/>
    <n v="-2"/>
    <n v="0"/>
    <n v="-2"/>
    <n v="3"/>
    <n v="6317"/>
    <n v="3"/>
    <n v="2.0417099017955833E-5"/>
    <n v="5.4330896894445931E-6"/>
  </r>
  <r>
    <s v="FOODZOO"/>
    <x v="2"/>
    <s v="Гигиена"/>
    <s v="Бумажная продукция"/>
    <s v="Туалетная бумага"/>
    <s v="Многослойная сухая туалетная бумага"/>
    <m/>
    <x v="1"/>
    <x v="0"/>
    <s v="да"/>
    <n v="4"/>
    <n v="0"/>
    <n v="4"/>
    <n v="4"/>
    <n v="0"/>
    <n v="4"/>
    <n v="0"/>
    <n v="0"/>
    <n v="0"/>
    <n v="5"/>
    <n v="6220.28"/>
    <n v="14"/>
    <n v="2.0104491480039625E-5"/>
    <n v="2.5354418550741437E-5"/>
  </r>
  <r>
    <s v="HOUSEHOLD"/>
    <x v="4"/>
    <s v="Товары для дома"/>
    <s v="Посуда и кухонные принадлежности"/>
    <s v="Посуда из пластика"/>
    <s v="Кухонные контейнеры"/>
    <m/>
    <x v="1"/>
    <x v="0"/>
    <s v="да"/>
    <n v="0"/>
    <n v="0"/>
    <n v="0"/>
    <n v="3"/>
    <n v="0"/>
    <n v="3"/>
    <n v="3"/>
    <n v="0"/>
    <n v="3"/>
    <n v="1"/>
    <n v="6198"/>
    <n v="28"/>
    <n v="2.0032480562496478E-5"/>
    <n v="5.0708837101482874E-5"/>
  </r>
  <r>
    <s v="HOUSEHOLD"/>
    <x v="4"/>
    <s v="Товары для дома"/>
    <s v="Хранение посуды и продуктов"/>
    <s v="Хранение посуды"/>
    <s v="Коврики для сушки посуды"/>
    <m/>
    <x v="1"/>
    <x v="0"/>
    <s v="да"/>
    <n v="0"/>
    <n v="0"/>
    <n v="0"/>
    <n v="1"/>
    <n v="0"/>
    <n v="1"/>
    <n v="1"/>
    <n v="0"/>
    <n v="1"/>
    <n v="9"/>
    <n v="6053.63"/>
    <n v="18"/>
    <n v="1.9565864038003478E-5"/>
    <n v="3.259853813666756E-5"/>
  </r>
  <r>
    <s v="BEAUTY&amp;HEALTH&amp; PHARMA"/>
    <x v="2"/>
    <s v="Уход"/>
    <s v="Средства по уходу за волосами"/>
    <s v="Шампуни"/>
    <s v="Шампуни сухие и твердые"/>
    <m/>
    <x v="1"/>
    <x v="0"/>
    <s v="да"/>
    <n v="3"/>
    <n v="0"/>
    <n v="3"/>
    <n v="3"/>
    <n v="0"/>
    <n v="3"/>
    <n v="0"/>
    <n v="0"/>
    <n v="0"/>
    <n v="9"/>
    <n v="5950.6900000000005"/>
    <n v="42"/>
    <n v="1.9233152913591833E-5"/>
    <n v="7.6063255652224305E-5"/>
  </r>
  <r>
    <s v="TOYS"/>
    <x v="2"/>
    <s v="Детская гигиена и уход"/>
    <s v="Уход за детьми"/>
    <s v="Средства для купания детей"/>
    <s v="Прочие средства для купания"/>
    <m/>
    <x v="1"/>
    <x v="0"/>
    <s v="да"/>
    <n v="6"/>
    <n v="0"/>
    <n v="6"/>
    <n v="6"/>
    <n v="0"/>
    <n v="6"/>
    <n v="0"/>
    <n v="0"/>
    <n v="0"/>
    <n v="5"/>
    <n v="5629.7699999999995"/>
    <n v="60"/>
    <n v="1.8195911277238752E-5"/>
    <n v="1.0866179378889187E-4"/>
  </r>
  <r>
    <s v="HOUSEHOLD"/>
    <x v="4"/>
    <s v="Праздничные и сезонные товары"/>
    <s v="Новогодние товары"/>
    <s v="Электрические гирлянды"/>
    <s v="Световой занавес"/>
    <m/>
    <x v="1"/>
    <x v="2"/>
    <s v="да"/>
    <n v="0"/>
    <n v="0"/>
    <n v="0"/>
    <n v="0"/>
    <n v="0"/>
    <n v="0"/>
    <n v="0"/>
    <n v="0"/>
    <n v="0"/>
    <n v="5"/>
    <n v="5505"/>
    <n v="13"/>
    <n v="1.7792643674821412E-5"/>
    <n v="2.3543388654259903E-5"/>
  </r>
  <r>
    <s v="FOODZOO"/>
    <x v="2"/>
    <s v="Бытовая химия"/>
    <s v="Средства для стирки"/>
    <s v="Смягчители воды"/>
    <s v="Смягчители воды"/>
    <m/>
    <x v="1"/>
    <x v="0"/>
    <s v="да"/>
    <n v="0"/>
    <n v="0"/>
    <n v="0"/>
    <n v="0"/>
    <n v="0"/>
    <n v="0"/>
    <n v="0"/>
    <n v="0"/>
    <n v="0"/>
    <n v="3"/>
    <n v="5481.04"/>
    <n v="16"/>
    <n v="1.7715202849671782E-5"/>
    <n v="2.8976478343704499E-5"/>
  </r>
  <r>
    <s v="TOYS"/>
    <x v="2"/>
    <s v="Детская гигиена и уход"/>
    <s v="Уход за детьми"/>
    <s v="Уход за кожей ребенка"/>
    <s v="Масло детское"/>
    <m/>
    <x v="1"/>
    <x v="0"/>
    <s v="да"/>
    <n v="2"/>
    <n v="0"/>
    <n v="2"/>
    <n v="2"/>
    <n v="0"/>
    <n v="2"/>
    <n v="0"/>
    <n v="0"/>
    <n v="0"/>
    <n v="5"/>
    <n v="5076"/>
    <n v="16"/>
    <n v="1.6406077982451133E-5"/>
    <n v="2.8976478343704499E-5"/>
  </r>
  <r>
    <s v="TOYS"/>
    <x v="1"/>
    <s v="Детские товары"/>
    <s v="Детская комната"/>
    <s v="Мебель для детской комнаты"/>
    <s v="Манежи для детей"/>
    <m/>
    <x v="1"/>
    <x v="0"/>
    <s v="да"/>
    <n v="3"/>
    <n v="0"/>
    <n v="3"/>
    <n v="0"/>
    <n v="0"/>
    <n v="0"/>
    <n v="-3"/>
    <n v="0"/>
    <n v="-3"/>
    <n v="1"/>
    <n v="5039"/>
    <n v="4"/>
    <n v="1.6286490731594022E-5"/>
    <n v="7.2441195859261247E-6"/>
  </r>
  <r>
    <s v="DIY"/>
    <x v="4"/>
    <s v="Праздничные и сезонные товары"/>
    <s v="Товары для летнего отдыха"/>
    <s v="Товары для пикника"/>
    <s v="Коврик для пикника"/>
    <m/>
    <x v="1"/>
    <x v="1"/>
    <s v="да"/>
    <n v="0"/>
    <n v="0"/>
    <n v="0"/>
    <n v="0"/>
    <n v="0"/>
    <n v="0"/>
    <n v="0"/>
    <n v="0"/>
    <n v="0"/>
    <n v="6"/>
    <n v="4814.79"/>
    <n v="9"/>
    <n v="1.5561824312278543E-5"/>
    <n v="1.629926906833378E-5"/>
  </r>
  <r>
    <s v="HOUSEHOLD"/>
    <x v="4"/>
    <s v="Товары для дома"/>
    <s v="Приготовление пищи"/>
    <s v="Формы и приспособления для приготовления"/>
    <s v="Зажимы для пакетов"/>
    <m/>
    <x v="1"/>
    <x v="0"/>
    <s v="да"/>
    <n v="0"/>
    <n v="0"/>
    <n v="0"/>
    <n v="2"/>
    <n v="0"/>
    <n v="2"/>
    <n v="2"/>
    <n v="0"/>
    <n v="2"/>
    <n v="3"/>
    <n v="4591.33"/>
    <n v="52"/>
    <n v="1.4839581958858819E-5"/>
    <n v="9.4173554617039612E-5"/>
  </r>
  <r>
    <s v="HOUSEHOLD"/>
    <x v="4"/>
    <s v="Товары для дома"/>
    <s v="Освещение"/>
    <s v="Уличное и садовое освещение"/>
    <s v="Садовое и парковое освещение"/>
    <m/>
    <x v="1"/>
    <x v="0"/>
    <s v="да"/>
    <n v="0"/>
    <n v="0"/>
    <n v="0"/>
    <n v="0"/>
    <n v="0"/>
    <n v="0"/>
    <n v="0"/>
    <n v="0"/>
    <n v="0"/>
    <n v="3"/>
    <n v="4466.78"/>
    <n v="35"/>
    <n v="1.4437025415770895E-5"/>
    <n v="6.338604637685359E-5"/>
  </r>
  <r>
    <s v="HOUSEHOLD"/>
    <x v="4"/>
    <s v="Товары для дома"/>
    <s v="Текстиль для ванной"/>
    <s v="Полотенце"/>
    <s v="Полотенце прочее"/>
    <m/>
    <x v="1"/>
    <x v="0"/>
    <s v="да"/>
    <n v="2"/>
    <n v="0"/>
    <n v="2"/>
    <n v="6"/>
    <n v="0"/>
    <n v="6"/>
    <n v="4"/>
    <n v="0"/>
    <n v="4"/>
    <n v="6"/>
    <n v="4193.4799999999996"/>
    <n v="13"/>
    <n v="1.355369580335878E-5"/>
    <n v="2.3543388654259903E-5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средн/крупн пород"/>
    <m/>
    <x v="1"/>
    <x v="0"/>
    <s v="да"/>
    <n v="0"/>
    <n v="0"/>
    <n v="0"/>
    <n v="0"/>
    <n v="0"/>
    <n v="0"/>
    <n v="0"/>
    <n v="0"/>
    <n v="0"/>
    <n v="5"/>
    <n v="4181"/>
    <n v="34"/>
    <n v="1.3513359346853464E-5"/>
    <n v="6.1575016480372059E-5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тараканов"/>
    <m/>
    <x v="1"/>
    <x v="0"/>
    <s v="да"/>
    <n v="1"/>
    <n v="0"/>
    <n v="1"/>
    <n v="0"/>
    <n v="0"/>
    <n v="0"/>
    <n v="-1"/>
    <n v="0"/>
    <n v="-1"/>
    <n v="3"/>
    <n v="4124.5200000000004"/>
    <n v="30"/>
    <n v="1.3330811024464019E-5"/>
    <n v="5.4330896894445936E-5"/>
  </r>
  <r>
    <s v="HOUSEHOLD"/>
    <x v="4"/>
    <s v="Товары для дома"/>
    <s v="Приготовление пищи"/>
    <s v="Товары для выпечки и запекания"/>
    <s v="Формы для запекания"/>
    <m/>
    <x v="1"/>
    <x v="0"/>
    <s v="да"/>
    <n v="0"/>
    <n v="0"/>
    <n v="0"/>
    <n v="3"/>
    <n v="0"/>
    <n v="3"/>
    <n v="3"/>
    <n v="0"/>
    <n v="3"/>
    <n v="2"/>
    <n v="3931"/>
    <n v="8"/>
    <n v="1.270533738160272E-5"/>
    <n v="1.4488239171852249E-5"/>
  </r>
  <r>
    <s v="DIY"/>
    <x v="2"/>
    <s v="Гигиена"/>
    <s v="Уход за зубами и полостью рта"/>
    <s v="Зубные щетки и насадки"/>
    <s v="Электрические зубные щетки"/>
    <m/>
    <x v="1"/>
    <x v="0"/>
    <s v="да"/>
    <n v="0"/>
    <n v="0"/>
    <n v="0"/>
    <n v="0"/>
    <n v="0"/>
    <n v="0"/>
    <n v="0"/>
    <n v="0"/>
    <n v="0"/>
    <n v="3"/>
    <n v="3803"/>
    <n v="6"/>
    <n v="1.2291630135394339E-5"/>
    <n v="1.0866179378889186E-5"/>
  </r>
  <r>
    <s v="FOODZOO"/>
    <x v="2"/>
    <s v="Продукция для животных"/>
    <s v="Корма и лакомства для собак"/>
    <s v="Лакомства для собак"/>
    <s v="Прочие корма и лакомства для собак"/>
    <m/>
    <x v="1"/>
    <x v="0"/>
    <s v="да"/>
    <n v="0"/>
    <n v="0"/>
    <n v="0"/>
    <n v="0"/>
    <n v="0"/>
    <n v="0"/>
    <n v="0"/>
    <n v="0"/>
    <n v="0"/>
    <n v="3"/>
    <n v="3799"/>
    <n v="13"/>
    <n v="1.2278701783950325E-5"/>
    <n v="2.3543388654259903E-5"/>
  </r>
  <r>
    <s v="HOUSEHOLD"/>
    <x v="4"/>
    <s v="Товары для дома"/>
    <s v="Текстиль для ванной"/>
    <s v="Полотенце"/>
    <s v="Полотенце 50х90"/>
    <m/>
    <x v="1"/>
    <x v="0"/>
    <s v="да"/>
    <n v="0"/>
    <n v="0"/>
    <n v="0"/>
    <n v="6"/>
    <n v="0"/>
    <n v="6"/>
    <n v="6"/>
    <n v="0"/>
    <n v="6"/>
    <n v="11"/>
    <n v="3766.89"/>
    <n v="39"/>
    <n v="1.217491944273352E-5"/>
    <n v="7.0630165962779713E-5"/>
  </r>
  <r>
    <s v="TOYS"/>
    <x v="1"/>
    <s v="Детские товары"/>
    <s v="Детская одежда"/>
    <s v="Карнавальные костюмы и аксессуары"/>
    <s v="Карнавальные костюмы и аксессуары детские"/>
    <m/>
    <x v="0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Освещение"/>
    <s v="Настенно-потолочные, напольные, настольные, декоративные светильники"/>
    <s v="Напольные лампы и торшеры"/>
    <m/>
    <x v="1"/>
    <x v="0"/>
    <s v="да"/>
    <n v="1"/>
    <n v="0"/>
    <n v="1"/>
    <n v="0"/>
    <n v="0"/>
    <n v="0"/>
    <n v="-1"/>
    <n v="0"/>
    <n v="-1"/>
    <n v="3"/>
    <n v="3723"/>
    <n v="7"/>
    <n v="1.2033063106514099E-5"/>
    <n v="1.2677209275370719E-5"/>
  </r>
  <r>
    <s v="TOYS"/>
    <x v="2"/>
    <s v="Детская гигиена и уход"/>
    <s v="Уход за детьми"/>
    <s v="Средства для купания детей"/>
    <s v="Пена для ванн детская"/>
    <m/>
    <x v="1"/>
    <x v="0"/>
    <s v="да"/>
    <n v="3"/>
    <n v="0"/>
    <n v="3"/>
    <n v="3"/>
    <n v="0"/>
    <n v="3"/>
    <n v="0"/>
    <n v="0"/>
    <n v="0"/>
    <n v="2"/>
    <n v="3695.61"/>
    <n v="26"/>
    <n v="1.1944536220001228E-5"/>
    <n v="4.7086777308519806E-5"/>
  </r>
  <r>
    <s v="TOYS"/>
    <x v="1"/>
    <s v="Детские товары"/>
    <s v="Товары для новорожденных"/>
    <s v="Ванная комната"/>
    <s v="Ванночки, горки, сиденья для купания"/>
    <m/>
    <x v="1"/>
    <x v="0"/>
    <s v="да"/>
    <n v="2"/>
    <n v="0"/>
    <n v="2"/>
    <n v="0"/>
    <n v="0"/>
    <n v="0"/>
    <n v="-2"/>
    <n v="0"/>
    <n v="-2"/>
    <n v="2"/>
    <n v="3528"/>
    <n v="2"/>
    <n v="1.1402805973618519E-5"/>
    <n v="3.6220597929630623E-6"/>
  </r>
  <r>
    <s v="FOODZOO"/>
    <x v="2"/>
    <s v="Продукция для животных"/>
    <s v="Корма и лакомства для собак"/>
    <s v="Лакомства для собак"/>
    <s v="Лакомства для собак малых пород"/>
    <m/>
    <x v="1"/>
    <x v="0"/>
    <s v="да"/>
    <n v="0"/>
    <n v="0"/>
    <n v="0"/>
    <n v="0"/>
    <n v="0"/>
    <n v="0"/>
    <n v="0"/>
    <n v="0"/>
    <n v="0"/>
    <n v="4"/>
    <n v="3405.1800000000003"/>
    <n v="56"/>
    <n v="1.1005840942530134E-5"/>
    <n v="1.0141767420296575E-4"/>
  </r>
  <r>
    <s v="HOUSEHOLD"/>
    <x v="4"/>
    <s v="Товары для дома"/>
    <s v="Текстиль для ванной"/>
    <s v="Полотенце"/>
    <s v="Полотенце 40х70"/>
    <m/>
    <x v="1"/>
    <x v="0"/>
    <s v="да"/>
    <n v="0"/>
    <n v="0"/>
    <n v="0"/>
    <n v="0"/>
    <n v="0"/>
    <n v="0"/>
    <n v="0"/>
    <n v="0"/>
    <n v="0"/>
    <n v="10"/>
    <n v="3350.9300000000003"/>
    <n v="49"/>
    <n v="1.0830500176070722E-5"/>
    <n v="8.874046492759502E-5"/>
  </r>
  <r>
    <s v="HOUSEHOLD"/>
    <x v="4"/>
    <s v="Товары для дома"/>
    <s v="Приготовление пищи"/>
    <s v="Кухонная утварь"/>
    <s v="Консервные ножи, открывалки для банок, бутылок"/>
    <m/>
    <x v="1"/>
    <x v="0"/>
    <s v="да"/>
    <n v="1"/>
    <n v="0"/>
    <n v="1"/>
    <n v="2"/>
    <n v="0"/>
    <n v="2"/>
    <n v="1"/>
    <n v="0"/>
    <n v="1"/>
    <n v="1"/>
    <n v="3331.4"/>
    <n v="40"/>
    <n v="1.0767377500145332E-5"/>
    <n v="7.2441195859261243E-5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женские"/>
    <m/>
    <x v="0"/>
    <x v="1"/>
    <s v="да"/>
    <n v="0"/>
    <n v="0"/>
    <n v="0"/>
    <n v="0"/>
    <n v="0"/>
    <n v="0"/>
    <n v="0"/>
    <n v="0"/>
    <n v="0"/>
    <n v="255"/>
    <n v="3740357.9899999998"/>
    <n v="1148"/>
    <n v="1.208916565528451E-2"/>
    <n v="2.0790623211607976E-3"/>
  </r>
  <r>
    <s v="BEAUTY&amp;HEALTH&amp; PHARMA"/>
    <x v="0"/>
    <s v="Бады и Витамины"/>
    <s v="Бады"/>
    <s v="Бады прочие"/>
    <s v="Бады прочие"/>
    <m/>
    <x v="0"/>
    <x v="0"/>
    <s v="да"/>
    <n v="0"/>
    <n v="0"/>
    <n v="0"/>
    <n v="0"/>
    <n v="0"/>
    <n v="0"/>
    <n v="0"/>
    <n v="0"/>
    <n v="0"/>
    <n v="177"/>
    <n v="1850528.1300000004"/>
    <n v="2995"/>
    <n v="5.9810695054175484E-3"/>
    <n v="5.4240345399621855E-3"/>
  </r>
  <r>
    <s v="BEAUTY&amp;HEALTH&amp; PHARMA"/>
    <x v="0"/>
    <s v="Парфюмерия и декоративная косметика"/>
    <s v="Парфюмерия"/>
    <s v="Одеколоны, духи, воды"/>
    <s v="Одеколоны, духи, воды унисекс"/>
    <m/>
    <x v="0"/>
    <x v="1"/>
    <s v="да"/>
    <n v="0"/>
    <n v="0"/>
    <n v="0"/>
    <n v="0"/>
    <n v="0"/>
    <n v="0"/>
    <n v="0"/>
    <n v="0"/>
    <n v="0"/>
    <n v="138"/>
    <n v="1851363.51"/>
    <n v="353"/>
    <n v="5.9837695269748716E-3"/>
    <n v="6.3929355345798049E-4"/>
  </r>
  <r>
    <s v="TOYS"/>
    <x v="3"/>
    <s v="Обувь"/>
    <s v="Кеды, кроссовки, слипоны"/>
    <s v="Кеды, кроссовки, слипоны для мужчин"/>
    <s v="Кроссовки для мужчин"/>
    <m/>
    <x v="0"/>
    <x v="1"/>
    <s v="да"/>
    <n v="0"/>
    <n v="0"/>
    <n v="0"/>
    <n v="0"/>
    <n v="0"/>
    <n v="0"/>
    <n v="0"/>
    <n v="0"/>
    <n v="0"/>
    <n v="3604"/>
    <n v="18020340.139999993"/>
    <n v="5814"/>
    <n v="5.8243322617638746E-2"/>
    <n v="1.0529327818143622E-2"/>
  </r>
  <r>
    <s v="TOYS"/>
    <x v="3"/>
    <s v="Одежда"/>
    <s v="Основная одежда"/>
    <s v="Основная одежда для женщин"/>
    <s v="Джинсы для женщин"/>
    <m/>
    <x v="0"/>
    <x v="1"/>
    <s v="да"/>
    <n v="0"/>
    <n v="0"/>
    <n v="0"/>
    <n v="0"/>
    <n v="0"/>
    <n v="0"/>
    <n v="0"/>
    <n v="0"/>
    <n v="0"/>
    <n v="1343"/>
    <n v="2791569.9499999955"/>
    <n v="2389"/>
    <n v="9.0225993485356856E-3"/>
    <n v="4.326550422694378E-3"/>
  </r>
  <r>
    <s v="DIY"/>
    <x v="4"/>
    <s v="Праздничные и сезонные товары"/>
    <s v="Товары для летнего отдыха"/>
    <s v="Барбекю, грили, коптильни, аксессуары"/>
    <s v="Щетка для чистки гриля"/>
    <m/>
    <x v="1"/>
    <x v="1"/>
    <s v="да"/>
    <n v="0"/>
    <n v="0"/>
    <n v="0"/>
    <n v="0"/>
    <n v="0"/>
    <n v="0"/>
    <n v="0"/>
    <n v="0"/>
    <n v="0"/>
    <n v="1"/>
    <n v="3208.1"/>
    <n v="17"/>
    <n v="1.0368861066883665E-5"/>
    <n v="3.0787508240186029E-5"/>
  </r>
  <r>
    <s v="TOYS"/>
    <x v="3"/>
    <s v="Одежда"/>
    <s v="Основная одежда"/>
    <s v="Основная одежда для женщин"/>
    <s v="Майка, топ для женщин"/>
    <m/>
    <x v="0"/>
    <x v="1"/>
    <s v="да"/>
    <n v="0"/>
    <n v="0"/>
    <n v="0"/>
    <n v="0"/>
    <n v="0"/>
    <n v="0"/>
    <n v="0"/>
    <n v="0"/>
    <n v="0"/>
    <n v="338"/>
    <n v="467154.99000000022"/>
    <n v="1322"/>
    <n v="1.5098859723859698E-3"/>
    <n v="2.3941815231485843E-3"/>
  </r>
  <r>
    <s v="TOYS"/>
    <x v="3"/>
    <s v="Одежда"/>
    <s v="Основная одежда"/>
    <s v="Основная одежда для мужчин"/>
    <s v="Лонгслив для мужчин"/>
    <m/>
    <x v="0"/>
    <x v="0"/>
    <s v="да"/>
    <n v="0"/>
    <n v="0"/>
    <n v="0"/>
    <n v="0"/>
    <n v="0"/>
    <n v="0"/>
    <n v="0"/>
    <n v="0"/>
    <n v="0"/>
    <n v="63"/>
    <n v="134034.07000000004"/>
    <n v="184"/>
    <n v="4.3320989060782397E-4"/>
    <n v="3.3322950095260171E-4"/>
  </r>
  <r>
    <s v="BEAUTY&amp;HEALTH&amp; PHARMA"/>
    <x v="0"/>
    <s v="Парфюмерия и декоративная косметика"/>
    <s v="Декоративная косметика"/>
    <s v="Для ногтей"/>
    <s v="База и топ"/>
    <m/>
    <x v="0"/>
    <x v="0"/>
    <s v="да"/>
    <n v="0"/>
    <n v="0"/>
    <n v="0"/>
    <n v="0"/>
    <n v="0"/>
    <n v="0"/>
    <n v="0"/>
    <n v="0"/>
    <n v="0"/>
    <n v="62"/>
    <n v="82290.740000000005"/>
    <n v="363"/>
    <n v="2.659709018269525E-4"/>
    <n v="6.5740385242279574E-4"/>
  </r>
  <r>
    <s v="TOYS"/>
    <x v="3"/>
    <s v="Одежда"/>
    <s v="Основная одежда"/>
    <s v="Основная одежда для женщин"/>
    <s v="Свитер для женщин"/>
    <m/>
    <x v="0"/>
    <x v="0"/>
    <s v="да"/>
    <n v="0"/>
    <n v="0"/>
    <n v="0"/>
    <n v="0"/>
    <n v="0"/>
    <n v="0"/>
    <n v="0"/>
    <n v="0"/>
    <n v="0"/>
    <n v="261"/>
    <n v="626099.95000000042"/>
    <n v="957"/>
    <n v="2.023610048169575E-3"/>
    <n v="1.7331556109328253E-3"/>
  </r>
  <r>
    <s v="TOYS"/>
    <x v="1"/>
    <s v="Детские товары"/>
    <s v="Детская одежда"/>
    <s v="Одежда для девочек"/>
    <s v="Футболки для девочек"/>
    <m/>
    <x v="0"/>
    <x v="1"/>
    <s v="да"/>
    <n v="0"/>
    <n v="0"/>
    <n v="0"/>
    <n v="0"/>
    <n v="0"/>
    <n v="0"/>
    <n v="0"/>
    <n v="0"/>
    <n v="0"/>
    <n v="230"/>
    <n v="252197.17000000004"/>
    <n v="1671"/>
    <n v="8.1512341173630538E-4"/>
    <n v="3.0262309570206385E-3"/>
  </r>
  <r>
    <s v="TOYS"/>
    <x v="3"/>
    <s v="Одежда"/>
    <s v="Основная одежда"/>
    <s v="Основная одежда для женщин"/>
    <s v="Джемпер, пуловер"/>
    <m/>
    <x v="0"/>
    <x v="1"/>
    <s v="да"/>
    <n v="0"/>
    <n v="0"/>
    <n v="0"/>
    <n v="0"/>
    <n v="0"/>
    <n v="0"/>
    <n v="0"/>
    <n v="0"/>
    <n v="0"/>
    <n v="408"/>
    <n v="664914.29000000074"/>
    <n v="1285"/>
    <n v="2.1490614053164183E-3"/>
    <n v="2.3271734169787676E-3"/>
  </r>
  <r>
    <s v="FOODZOO"/>
    <x v="2"/>
    <s v="Продукция для животных"/>
    <s v="Корма и лакомства для собак"/>
    <s v="Сухие корма для собак"/>
    <s v="Сухие корма для собак средних пород"/>
    <m/>
    <x v="1"/>
    <x v="0"/>
    <s v="да"/>
    <n v="4"/>
    <n v="0"/>
    <n v="4"/>
    <n v="4"/>
    <n v="0"/>
    <n v="4"/>
    <n v="0"/>
    <n v="0"/>
    <n v="0"/>
    <n v="1"/>
    <n v="3030"/>
    <n v="2"/>
    <n v="9.7932262188390333E-6"/>
    <n v="3.6220597929630623E-6"/>
  </r>
  <r>
    <s v="TOYS"/>
    <x v="3"/>
    <s v="Аксессуары"/>
    <s v="Шарфы и платки"/>
    <s v="Шарфы, платки для женщин"/>
    <s v="Шарфы, платки для женщин"/>
    <m/>
    <x v="0"/>
    <x v="1"/>
    <s v="да"/>
    <n v="0"/>
    <n v="0"/>
    <n v="0"/>
    <n v="0"/>
    <n v="0"/>
    <n v="0"/>
    <n v="0"/>
    <n v="0"/>
    <n v="0"/>
    <n v="23"/>
    <n v="46506"/>
    <n v="29"/>
    <n v="1.5031147806380464E-4"/>
    <n v="5.2519866997964405E-5"/>
  </r>
  <r>
    <s v="DIY"/>
    <x v="5"/>
    <s v="Смартфоны и гаджеты"/>
    <s v="Смартфоны"/>
    <s v="Смартфоны Android"/>
    <s v="Прочие Android смартфоны"/>
    <m/>
    <x v="0"/>
    <x v="0"/>
    <s v="да"/>
    <n v="0"/>
    <n v="0"/>
    <n v="0"/>
    <n v="0"/>
    <n v="0"/>
    <n v="0"/>
    <n v="0"/>
    <n v="0"/>
    <n v="0"/>
    <n v="24"/>
    <n v="2354589.4499999997"/>
    <n v="338"/>
    <n v="7.6102399789906849E-3"/>
    <n v="6.1212810501075755E-4"/>
  </r>
  <r>
    <s v="FOODZOO"/>
    <x v="2"/>
    <s v="Продукция для животных"/>
    <s v="Корма и лакомства для кошек"/>
    <s v="Сухие корма для кошек и котят"/>
    <s v="Сухие специализированные корма для кошек"/>
    <m/>
    <x v="1"/>
    <x v="0"/>
    <s v="да"/>
    <n v="16"/>
    <n v="0"/>
    <n v="16"/>
    <n v="16"/>
    <n v="0"/>
    <n v="16"/>
    <n v="0"/>
    <n v="0"/>
    <n v="0"/>
    <n v="1"/>
    <n v="3020"/>
    <n v="4"/>
    <n v="9.7609053402290033E-6"/>
    <n v="7.2441195859261247E-6"/>
  </r>
  <r>
    <s v="HOUSEHOLD"/>
    <x v="4"/>
    <s v="Товары для дома"/>
    <s v="Текстиль для спальни"/>
    <s v="Постельное белье"/>
    <s v="Комплект постельного белья 1,5 сп"/>
    <m/>
    <x v="1"/>
    <x v="0"/>
    <s v="да"/>
    <n v="3"/>
    <n v="0"/>
    <n v="3"/>
    <n v="3"/>
    <n v="0"/>
    <n v="3"/>
    <n v="0"/>
    <n v="0"/>
    <n v="0"/>
    <n v="2"/>
    <n v="2969"/>
    <n v="3"/>
    <n v="9.5960688593178509E-6"/>
    <n v="5.4330896894445931E-6"/>
  </r>
  <r>
    <s v="TOYS"/>
    <x v="1"/>
    <s v="Детские товары"/>
    <s v="Детская одежда"/>
    <s v="Одежда для мальчиков"/>
    <s v="Поло для мальчиков"/>
    <m/>
    <x v="0"/>
    <x v="1"/>
    <s v="да"/>
    <n v="0"/>
    <n v="0"/>
    <n v="0"/>
    <n v="0"/>
    <n v="0"/>
    <n v="0"/>
    <n v="0"/>
    <n v="0"/>
    <n v="0"/>
    <n v="47"/>
    <n v="75929.49000000002"/>
    <n v="204"/>
    <n v="2.4541078292114734E-4"/>
    <n v="3.6945009888223233E-4"/>
  </r>
  <r>
    <s v="TOYS"/>
    <x v="3"/>
    <s v="Одежда"/>
    <s v="Основная одежда"/>
    <s v="Основная одежда для женщин"/>
    <s v="Лонгслив для женщин"/>
    <m/>
    <x v="0"/>
    <x v="0"/>
    <s v="да"/>
    <n v="0"/>
    <n v="0"/>
    <n v="0"/>
    <n v="0"/>
    <n v="0"/>
    <n v="0"/>
    <n v="0"/>
    <n v="0"/>
    <n v="0"/>
    <n v="219"/>
    <n v="388056.48999999987"/>
    <n v="851"/>
    <n v="1.2542326707124245E-3"/>
    <n v="1.541186441905783E-3"/>
  </r>
  <r>
    <s v="DIY"/>
    <x v="2"/>
    <s v="Гигиена"/>
    <s v="Уход за зубами и полостью рта"/>
    <s v="Зубные щетки и насадки"/>
    <s v="Насадки для электрических зубных щеток"/>
    <m/>
    <x v="1"/>
    <x v="0"/>
    <s v="да"/>
    <n v="1"/>
    <n v="0"/>
    <n v="1"/>
    <n v="1"/>
    <n v="0"/>
    <n v="1"/>
    <n v="0"/>
    <n v="0"/>
    <n v="0"/>
    <n v="1"/>
    <n v="2713"/>
    <n v="5"/>
    <n v="8.7686543669010883E-6"/>
    <n v="9.0551494824076554E-6"/>
  </r>
  <r>
    <s v="TOYS"/>
    <x v="1"/>
    <s v="Детские товары"/>
    <s v="Аксессуары для детей"/>
    <s v="Головные уборы"/>
    <s v="Шапки детские"/>
    <m/>
    <x v="0"/>
    <x v="0"/>
    <s v="да"/>
    <n v="0"/>
    <n v="0"/>
    <n v="0"/>
    <n v="0"/>
    <n v="0"/>
    <n v="0"/>
    <n v="0"/>
    <n v="0"/>
    <n v="0"/>
    <n v="232"/>
    <n v="134508.26"/>
    <n v="739"/>
    <n v="4.3474251435063289E-4"/>
    <n v="1.3383510934998515E-3"/>
  </r>
  <r>
    <s v="DIY"/>
    <x v="5"/>
    <s v="Смартфоны и гаджеты"/>
    <s v="Смарт-часы и браслеты"/>
    <s v="Смарт-часы"/>
    <s v="Смарт-часы прочие"/>
    <m/>
    <x v="0"/>
    <x v="1"/>
    <s v="да"/>
    <n v="0"/>
    <n v="0"/>
    <n v="0"/>
    <n v="0"/>
    <n v="0"/>
    <n v="0"/>
    <n v="0"/>
    <n v="0"/>
    <n v="0"/>
    <n v="27"/>
    <n v="111909.81999999999"/>
    <n v="63"/>
    <n v="3.6170237074902863E-4"/>
    <n v="1.1409488347833646E-4"/>
  </r>
  <r>
    <s v="FOODZOO"/>
    <x v="2"/>
    <s v="Продукция для животных"/>
    <s v="Корма и лакомства для собак"/>
    <s v="Сухие корма для собак"/>
    <s v="Сухие корма для щенков"/>
    <m/>
    <x v="1"/>
    <x v="0"/>
    <s v="да"/>
    <n v="0"/>
    <n v="0"/>
    <n v="0"/>
    <n v="0"/>
    <n v="0"/>
    <n v="0"/>
    <n v="0"/>
    <n v="0"/>
    <n v="0"/>
    <n v="2"/>
    <n v="2659"/>
    <n v="2"/>
    <n v="8.5941216224069268E-6"/>
    <n v="3.6220597929630623E-6"/>
  </r>
  <r>
    <s v="BEAUTY&amp;HEALTH&amp; PHARMA"/>
    <x v="2"/>
    <s v="Уход"/>
    <s v="Уход за кожей лица"/>
    <s v="Кремы"/>
    <s v="Кремы ВВ"/>
    <m/>
    <x v="0"/>
    <x v="0"/>
    <s v="да"/>
    <n v="0"/>
    <n v="0"/>
    <n v="0"/>
    <n v="0"/>
    <n v="0"/>
    <n v="0"/>
    <n v="0"/>
    <n v="0"/>
    <n v="0"/>
    <n v="34"/>
    <n v="131986.63"/>
    <n v="193"/>
    <n v="4.2659238463769192E-4"/>
    <n v="3.4952877002093551E-4"/>
  </r>
  <r>
    <s v="TOYS"/>
    <x v="3"/>
    <s v="Аксессуары"/>
    <s v="Головные уборы"/>
    <s v="Головные уборы для женщин"/>
    <s v="Кепка женская"/>
    <m/>
    <x v="0"/>
    <x v="1"/>
    <s v="да"/>
    <n v="0"/>
    <n v="0"/>
    <n v="0"/>
    <n v="0"/>
    <n v="0"/>
    <n v="0"/>
    <n v="0"/>
    <n v="0"/>
    <n v="0"/>
    <n v="16"/>
    <n v="23458.89"/>
    <n v="23"/>
    <n v="7.5821193601604222E-5"/>
    <n v="4.1653687619075214E-5"/>
  </r>
  <r>
    <s v="HOUSEHOLD"/>
    <x v="4"/>
    <s v="Товары для дома"/>
    <s v="Хранение посуды и продуктов"/>
    <s v="Хранение продуктов"/>
    <s v="Хранение продуктов прочее"/>
    <m/>
    <x v="1"/>
    <x v="0"/>
    <s v="нет"/>
    <n v="1"/>
    <n v="0"/>
    <n v="1"/>
    <n v="3"/>
    <n v="0"/>
    <n v="3"/>
    <n v="2"/>
    <n v="0"/>
    <n v="2"/>
    <n v="4"/>
    <n v="2650"/>
    <n v="12"/>
    <n v="8.565032831657901E-6"/>
    <n v="2.1732358757778372E-5"/>
  </r>
  <r>
    <s v="TOYS"/>
    <x v="2"/>
    <s v="Детская гигиена и уход"/>
    <s v="Уход за детьми"/>
    <s v="Средства для купания детей"/>
    <s v="Губки для тела детские"/>
    <m/>
    <x v="1"/>
    <x v="0"/>
    <s v="да"/>
    <n v="0"/>
    <n v="0"/>
    <n v="0"/>
    <n v="0"/>
    <n v="0"/>
    <n v="0"/>
    <n v="0"/>
    <n v="0"/>
    <n v="0"/>
    <n v="4"/>
    <n v="2640.77"/>
    <n v="11"/>
    <n v="8.535200660700843E-6"/>
    <n v="1.9921328861296842E-5"/>
  </r>
  <r>
    <s v="HOUSEHOLD"/>
    <x v="4"/>
    <s v="Товары для дома"/>
    <s v="Приготовление пищи"/>
    <s v="Кухонная утварь"/>
    <s v="Мерная емкость"/>
    <m/>
    <x v="1"/>
    <x v="0"/>
    <s v="да"/>
    <n v="0"/>
    <n v="0"/>
    <n v="0"/>
    <n v="2"/>
    <n v="0"/>
    <n v="2"/>
    <n v="2"/>
    <n v="0"/>
    <n v="2"/>
    <n v="3"/>
    <n v="2579"/>
    <n v="12"/>
    <n v="8.3355545935266887E-6"/>
    <n v="2.1732358757778372E-5"/>
  </r>
  <r>
    <s v="FOODZOO"/>
    <x v="2"/>
    <s v="Гигиена"/>
    <s v="Бритье"/>
    <s v="После бритья"/>
    <s v="После бритья лосьоны"/>
    <m/>
    <x v="1"/>
    <x v="1"/>
    <s v="да"/>
    <n v="0"/>
    <n v="0"/>
    <n v="0"/>
    <n v="0"/>
    <n v="0"/>
    <n v="0"/>
    <n v="0"/>
    <n v="0"/>
    <n v="0"/>
    <n v="3"/>
    <n v="2496"/>
    <n v="7"/>
    <n v="8.0672913010634414E-6"/>
    <n v="1.2677209275370719E-5"/>
  </r>
  <r>
    <s v="TOYS"/>
    <x v="3"/>
    <s v="Одежда"/>
    <s v="Основная одежда"/>
    <s v="Основная одежда для женщин"/>
    <s v="Толстовка, худи для женщин"/>
    <m/>
    <x v="0"/>
    <x v="1"/>
    <s v="да"/>
    <n v="0"/>
    <n v="0"/>
    <n v="0"/>
    <n v="0"/>
    <n v="0"/>
    <n v="0"/>
    <n v="0"/>
    <n v="0"/>
    <n v="0"/>
    <n v="359"/>
    <n v="964554.11999999953"/>
    <n v="544"/>
    <n v="3.1175236625324114E-3"/>
    <n v="9.8520026368595294E-4"/>
  </r>
  <r>
    <s v="DIY"/>
    <x v="5"/>
    <s v="Смартфоны и гаджеты"/>
    <s v="Смартфоны"/>
    <s v="Смартфоны Apple"/>
    <s v="Смартфоны Apple"/>
    <m/>
    <x v="0"/>
    <x v="1"/>
    <s v="да"/>
    <n v="0"/>
    <n v="0"/>
    <n v="0"/>
    <n v="0"/>
    <n v="0"/>
    <n v="0"/>
    <n v="0"/>
    <n v="0"/>
    <n v="0"/>
    <n v="7"/>
    <n v="2721469"/>
    <n v="28"/>
    <n v="8.796026918995923E-3"/>
    <n v="5.0708837101482874E-5"/>
  </r>
  <r>
    <s v="TOYS"/>
    <x v="3"/>
    <s v="Одежда"/>
    <s v="Бельё"/>
    <s v="Белье для женщин"/>
    <s v="Трусы для женщин"/>
    <m/>
    <x v="0"/>
    <x v="1"/>
    <s v="да"/>
    <n v="0"/>
    <n v="0"/>
    <n v="0"/>
    <n v="0"/>
    <n v="0"/>
    <n v="0"/>
    <n v="0"/>
    <n v="0"/>
    <n v="0"/>
    <n v="65"/>
    <n v="71625.05"/>
    <n v="115"/>
    <n v="2.314984546487316E-4"/>
    <n v="2.0826843809537609E-4"/>
  </r>
  <r>
    <s v="TOYS"/>
    <x v="3"/>
    <s v="Одежда"/>
    <s v="Основная одежда"/>
    <s v="Основная одежда для мужчин"/>
    <s v="Брюки для мужчин"/>
    <m/>
    <x v="0"/>
    <x v="1"/>
    <s v="да"/>
    <n v="0"/>
    <n v="0"/>
    <n v="0"/>
    <n v="0"/>
    <n v="0"/>
    <n v="0"/>
    <n v="0"/>
    <n v="0"/>
    <n v="0"/>
    <n v="423"/>
    <n v="792341.49"/>
    <n v="670"/>
    <n v="2.560917311598015E-3"/>
    <n v="1.2133900306426258E-3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опов и блох"/>
    <m/>
    <x v="1"/>
    <x v="1"/>
    <s v="да"/>
    <n v="0"/>
    <n v="0"/>
    <n v="0"/>
    <n v="0"/>
    <n v="0"/>
    <n v="0"/>
    <n v="0"/>
    <n v="0"/>
    <n v="0"/>
    <n v="2"/>
    <n v="2409.4399999999996"/>
    <n v="18"/>
    <n v="7.7875217758150222E-6"/>
    <n v="3.259853813666756E-5"/>
  </r>
  <r>
    <s v="TOYS"/>
    <x v="1"/>
    <s v="Детские товары"/>
    <s v="Детская одежда"/>
    <s v="Детское нижнее бельё"/>
    <s v="Пижамы детские"/>
    <m/>
    <x v="0"/>
    <x v="0"/>
    <s v="да"/>
    <n v="0"/>
    <n v="0"/>
    <n v="0"/>
    <n v="0"/>
    <n v="0"/>
    <n v="0"/>
    <n v="0"/>
    <n v="0"/>
    <n v="0"/>
    <n v="195"/>
    <n v="309837.76000000013"/>
    <n v="1598"/>
    <n v="1.0014228629763554E-3"/>
    <n v="2.8940257745774865E-3"/>
  </r>
  <r>
    <s v="TOYS"/>
    <x v="3"/>
    <s v="Обувь"/>
    <s v="Летняя обувь"/>
    <s v="Туфли, балетки, босоножки для женщин"/>
    <s v="Босоножки для женщин"/>
    <m/>
    <x v="0"/>
    <x v="1"/>
    <s v="да"/>
    <n v="0"/>
    <n v="0"/>
    <n v="0"/>
    <n v="0"/>
    <n v="0"/>
    <n v="0"/>
    <n v="0"/>
    <n v="0"/>
    <n v="0"/>
    <n v="348"/>
    <n v="609491.70999999961"/>
    <n v="356"/>
    <n v="1.9699307572729483E-3"/>
    <n v="6.4472664314742505E-4"/>
  </r>
  <r>
    <s v="HOUSEHOLD"/>
    <x v="4"/>
    <s v="Товары для дома"/>
    <s v="Приготовление напитков"/>
    <s v="Приготовление чая и кофе"/>
    <s v="Соковыжималка механическая"/>
    <m/>
    <x v="1"/>
    <x v="0"/>
    <s v="нет"/>
    <n v="0"/>
    <n v="0"/>
    <n v="0"/>
    <n v="1"/>
    <n v="0"/>
    <n v="1"/>
    <n v="1"/>
    <n v="0"/>
    <n v="1"/>
    <n v="1"/>
    <n v="2370.33"/>
    <n v="44"/>
    <n v="7.6611148195711957E-6"/>
    <n v="7.9685315445187366E-5"/>
  </r>
  <r>
    <s v="HOUSEHOLD"/>
    <x v="4"/>
    <s v="Товары для дома"/>
    <s v="Приготовление пищи"/>
    <s v="Товары для выпечки и запекания"/>
    <s v="Формы для приготовления прочие"/>
    <m/>
    <x v="1"/>
    <x v="0"/>
    <s v="да"/>
    <n v="0"/>
    <n v="0"/>
    <n v="0"/>
    <n v="3"/>
    <n v="0"/>
    <n v="3"/>
    <n v="3"/>
    <n v="0"/>
    <n v="3"/>
    <n v="2"/>
    <n v="2295"/>
    <n v="3"/>
    <n v="7.417641641001842E-6"/>
    <n v="5.4330896894445931E-6"/>
  </r>
  <r>
    <s v="HOUSEHOLD"/>
    <x v="4"/>
    <s v="Строительство и ремонт"/>
    <s v="Строительные материалы"/>
    <s v="Строительные материалы"/>
    <s v="Строительные материалы"/>
    <m/>
    <x v="1"/>
    <x v="0"/>
    <s v="да"/>
    <n v="1"/>
    <n v="0"/>
    <n v="1"/>
    <n v="0"/>
    <n v="0"/>
    <n v="0"/>
    <n v="-1"/>
    <n v="0"/>
    <n v="-1"/>
    <n v="7"/>
    <n v="2219.2399999999998"/>
    <n v="14"/>
    <n v="7.1727786646522559E-6"/>
    <n v="2.5354418550741437E-5"/>
  </r>
  <r>
    <s v="TOYS"/>
    <x v="3"/>
    <s v="Одежда"/>
    <s v="Купальная одежда"/>
    <s v="Одежда для купания для женщин"/>
    <s v="Купальный костюм"/>
    <m/>
    <x v="0"/>
    <x v="1"/>
    <s v="да"/>
    <n v="0"/>
    <n v="0"/>
    <n v="0"/>
    <n v="0"/>
    <n v="0"/>
    <n v="0"/>
    <n v="0"/>
    <n v="0"/>
    <n v="0"/>
    <n v="115"/>
    <n v="152014.10999999999"/>
    <n v="330"/>
    <n v="4.9132295963217189E-4"/>
    <n v="5.9763986583890531E-4"/>
  </r>
  <r>
    <s v="HOUSEHOLD"/>
    <x v="4"/>
    <s v="Праздничные и сезонные товары"/>
    <s v="Новогодние товары"/>
    <s v="Новогодние сувениры и аксессуары"/>
    <s v="Фигурка новогодняя"/>
    <m/>
    <x v="1"/>
    <x v="2"/>
    <s v="да"/>
    <n v="0"/>
    <n v="0"/>
    <n v="0"/>
    <n v="0"/>
    <n v="0"/>
    <n v="0"/>
    <n v="0"/>
    <n v="0"/>
    <n v="0"/>
    <n v="8"/>
    <n v="2124.48"/>
    <n v="54"/>
    <n v="6.866506018943614E-6"/>
    <n v="9.7795614410002674E-5"/>
  </r>
  <r>
    <s v="TOYS"/>
    <x v="1"/>
    <s v="Детские товары"/>
    <s v="Детская одежда"/>
    <s v="Одежда для малышей"/>
    <s v="Комплекты для малышей"/>
    <m/>
    <x v="0"/>
    <x v="2"/>
    <s v="да"/>
    <n v="0"/>
    <n v="0"/>
    <n v="0"/>
    <n v="0"/>
    <n v="0"/>
    <n v="0"/>
    <n v="0"/>
    <n v="0"/>
    <n v="0"/>
    <n v="6"/>
    <n v="14141"/>
    <n v="7"/>
    <n v="4.5704954442443158E-5"/>
    <n v="1.2677209275370719E-5"/>
  </r>
  <r>
    <s v="DIY"/>
    <x v="4"/>
    <s v="Праздничные и сезонные товары"/>
    <s v="Товары для летнего отдыха"/>
    <s v="Термосумки и автохолодильники"/>
    <s v="Аккумулятор холода"/>
    <m/>
    <x v="1"/>
    <x v="1"/>
    <s v="да"/>
    <n v="0"/>
    <n v="0"/>
    <n v="0"/>
    <n v="0"/>
    <n v="0"/>
    <n v="0"/>
    <n v="0"/>
    <n v="0"/>
    <n v="0"/>
    <n v="1"/>
    <n v="1967.87"/>
    <n v="8"/>
    <n v="6.3603287390319366E-6"/>
    <n v="1.4488239171852249E-5"/>
  </r>
  <r>
    <s v="TOYS"/>
    <x v="3"/>
    <s v="Аксессуары"/>
    <s v="Головные уборы"/>
    <s v="Головные уборы для женщин"/>
    <s v="Шапка женская"/>
    <m/>
    <x v="0"/>
    <x v="1"/>
    <s v="да"/>
    <n v="0"/>
    <n v="0"/>
    <n v="0"/>
    <n v="0"/>
    <n v="0"/>
    <n v="0"/>
    <n v="0"/>
    <n v="0"/>
    <n v="0"/>
    <n v="102"/>
    <n v="107565.47999999997"/>
    <n v="330"/>
    <n v="3.4766108217095887E-4"/>
    <n v="5.9763986583890531E-4"/>
  </r>
  <r>
    <s v="HOUSEHOLD"/>
    <x v="4"/>
    <s v="Праздничные и сезонные товары"/>
    <s v="Обустройство дачи и сада"/>
    <s v="Биотуалеты и умывальники"/>
    <s v="Жидкость для биотуалета"/>
    <m/>
    <x v="1"/>
    <x v="1"/>
    <s v="да"/>
    <n v="3"/>
    <n v="0"/>
    <n v="3"/>
    <n v="0"/>
    <n v="0"/>
    <n v="0"/>
    <n v="-3"/>
    <n v="0"/>
    <n v="-3"/>
    <n v="5"/>
    <n v="1959"/>
    <n v="7"/>
    <n v="6.3316601197048404E-6"/>
    <n v="1.2677209275370719E-5"/>
  </r>
  <r>
    <s v="DIY"/>
    <x v="6"/>
    <s v="Спорт и активный отдых"/>
    <s v="Зимние виды спорта"/>
    <s v="Одежда для горных лыж и сноуборда"/>
    <s v="Горнолыжные шапки, перчатки и носки"/>
    <m/>
    <x v="0"/>
    <x v="2"/>
    <s v="да"/>
    <n v="0"/>
    <n v="0"/>
    <n v="0"/>
    <n v="0"/>
    <n v="0"/>
    <n v="0"/>
    <n v="0"/>
    <n v="0"/>
    <n v="0"/>
    <n v="17"/>
    <n v="23570.100000000002"/>
    <n v="75"/>
    <n v="7.618063409262638E-5"/>
    <n v="1.3582724223611483E-4"/>
  </r>
  <r>
    <s v="HOUSEHOLD"/>
    <x v="4"/>
    <s v="Товары для дома"/>
    <s v="Товары для ванной комнаты"/>
    <s v="Аксессуары для ванной комнаты"/>
    <s v="Крючок для ванной"/>
    <m/>
    <x v="1"/>
    <x v="0"/>
    <s v="да"/>
    <n v="0"/>
    <n v="0"/>
    <n v="0"/>
    <n v="0"/>
    <n v="0"/>
    <n v="0"/>
    <n v="0"/>
    <n v="0"/>
    <n v="0"/>
    <n v="2"/>
    <n v="1908"/>
    <n v="10"/>
    <n v="6.166823638793688E-6"/>
    <n v="1.8110298964815311E-5"/>
  </r>
  <r>
    <s v="TOYS"/>
    <x v="1"/>
    <s v="Детские товары"/>
    <s v="Детская одежда"/>
    <s v="Одежда для девочек"/>
    <s v="Брюки для девочек"/>
    <m/>
    <x v="0"/>
    <x v="1"/>
    <s v="да"/>
    <n v="0"/>
    <n v="0"/>
    <n v="0"/>
    <n v="0"/>
    <n v="0"/>
    <n v="0"/>
    <n v="0"/>
    <n v="0"/>
    <n v="0"/>
    <n v="121"/>
    <n v="103013.09999999999"/>
    <n v="243"/>
    <n v="3.3294739003428617E-4"/>
    <n v="4.4008026484501205E-4"/>
  </r>
  <r>
    <s v="DIY"/>
    <x v="5"/>
    <s v="Компьютеры и аксессуары"/>
    <s v="IT/Office"/>
    <s v="Мобильные и стационарные компьютеры"/>
    <s v="Кабель для компьютера"/>
    <m/>
    <x v="0"/>
    <x v="0"/>
    <s v="да"/>
    <n v="0"/>
    <n v="0"/>
    <n v="0"/>
    <n v="0"/>
    <n v="0"/>
    <n v="0"/>
    <n v="0"/>
    <n v="0"/>
    <n v="0"/>
    <n v="5"/>
    <n v="3587.86"/>
    <n v="12"/>
    <n v="1.1596278752978157E-5"/>
    <n v="2.1732358757778372E-5"/>
  </r>
  <r>
    <s v="HOUSEHOLD"/>
    <x v="4"/>
    <s v="Товары для дома"/>
    <s v="Хранение посуды и продуктов"/>
    <s v="Хранение посуды"/>
    <s v="Хранение посуды прочее"/>
    <m/>
    <x v="1"/>
    <x v="0"/>
    <s v="нет"/>
    <n v="1"/>
    <n v="0"/>
    <n v="1"/>
    <n v="3"/>
    <n v="0"/>
    <n v="3"/>
    <n v="2"/>
    <n v="0"/>
    <n v="2"/>
    <n v="1"/>
    <n v="1868.92"/>
    <n v="7"/>
    <n v="6.0405136451856919E-6"/>
    <n v="1.2677209275370719E-5"/>
  </r>
  <r>
    <s v="FOODZOO"/>
    <x v="2"/>
    <s v="Продукция для животных"/>
    <s v="Корма и лакомства для собак"/>
    <s v="Сухие корма для собак"/>
    <s v="Сухие корма для собак крупных пород"/>
    <m/>
    <x v="1"/>
    <x v="0"/>
    <s v="да"/>
    <n v="1"/>
    <n v="0"/>
    <n v="1"/>
    <n v="1"/>
    <n v="0"/>
    <n v="1"/>
    <n v="0"/>
    <n v="0"/>
    <n v="0"/>
    <n v="1"/>
    <n v="1820"/>
    <n v="2"/>
    <n v="5.8823999070254258E-6"/>
    <n v="3.6220597929630623E-6"/>
  </r>
  <r>
    <s v="DIY"/>
    <x v="5"/>
    <s v="Компьютеры и аксессуары"/>
    <s v="IT/Office"/>
    <s v="Офисная периферия"/>
    <s v="Клавиатура"/>
    <m/>
    <x v="0"/>
    <x v="1"/>
    <s v="да"/>
    <n v="0"/>
    <n v="0"/>
    <n v="0"/>
    <n v="0"/>
    <n v="0"/>
    <n v="0"/>
    <n v="0"/>
    <n v="0"/>
    <n v="0"/>
    <n v="19"/>
    <n v="49103.71"/>
    <n v="66"/>
    <n v="1.5870750502121071E-4"/>
    <n v="1.1952797316778106E-4"/>
  </r>
  <r>
    <s v="DIY"/>
    <x v="5"/>
    <s v="Смартфоны и гаджеты"/>
    <s v="Telecom"/>
    <s v="Операторы сотовой связи"/>
    <s v="SIM карты прочие операторы"/>
    <m/>
    <x v="0"/>
    <x v="0"/>
    <s v="да"/>
    <n v="0"/>
    <n v="0"/>
    <n v="0"/>
    <n v="0"/>
    <n v="0"/>
    <n v="0"/>
    <n v="0"/>
    <n v="0"/>
    <n v="0"/>
    <n v="14"/>
    <n v="155420.96"/>
    <n v="1156"/>
    <n v="5.0233419816142987E-4"/>
    <n v="2.0935505603326501E-3"/>
  </r>
  <r>
    <s v="TOYS"/>
    <x v="1"/>
    <s v="Детские товары"/>
    <s v="Аксессуары для детей"/>
    <s v="Галстуки и бабочки"/>
    <s v="Галстуки и бабочки детские"/>
    <m/>
    <x v="0"/>
    <x v="1"/>
    <s v="да"/>
    <n v="0"/>
    <n v="0"/>
    <n v="0"/>
    <n v="0"/>
    <n v="0"/>
    <n v="0"/>
    <n v="0"/>
    <n v="0"/>
    <n v="0"/>
    <n v="35"/>
    <n v="35969.619999999988"/>
    <n v="448"/>
    <n v="1.1625697216689002E-4"/>
    <n v="8.1134139362372599E-4"/>
  </r>
  <r>
    <s v="TOYS"/>
    <x v="3"/>
    <s v="Аксессуары"/>
    <s v="Головные уборы"/>
    <s v="Головные уборы для мужчин"/>
    <s v="Шапка мужская"/>
    <m/>
    <x v="0"/>
    <x v="1"/>
    <s v="да"/>
    <n v="0"/>
    <n v="0"/>
    <n v="0"/>
    <n v="0"/>
    <n v="0"/>
    <n v="0"/>
    <n v="0"/>
    <n v="0"/>
    <n v="0"/>
    <n v="50"/>
    <n v="54600.469999999987"/>
    <n v="176"/>
    <n v="1.7647351629205741E-4"/>
    <n v="3.1874126178074947E-4"/>
  </r>
  <r>
    <s v="DIY"/>
    <x v="5"/>
    <s v="Смартфоны и гаджеты"/>
    <s v="Смарт-часы и браслеты"/>
    <s v="Смарт-часы"/>
    <s v="Смарт-часы Детские"/>
    <m/>
    <x v="0"/>
    <x v="1"/>
    <s v="да"/>
    <n v="0"/>
    <n v="0"/>
    <n v="0"/>
    <n v="0"/>
    <n v="0"/>
    <n v="0"/>
    <n v="0"/>
    <n v="0"/>
    <n v="0"/>
    <n v="2"/>
    <n v="12947"/>
    <n v="2"/>
    <n v="4.18458415364056E-5"/>
    <n v="3.6220597929630623E-6"/>
  </r>
  <r>
    <s v="DIY"/>
    <x v="6"/>
    <s v="Спорт и активный отдых"/>
    <s v="Велоспорт"/>
    <s v="Велоэкипировка"/>
    <s v="Велосипедные перчатки"/>
    <m/>
    <x v="0"/>
    <x v="1"/>
    <s v="да"/>
    <n v="0"/>
    <n v="0"/>
    <n v="0"/>
    <n v="0"/>
    <n v="0"/>
    <n v="0"/>
    <n v="0"/>
    <n v="0"/>
    <n v="0"/>
    <n v="12"/>
    <n v="15453.63"/>
    <n v="126"/>
    <n v="4.9947489931431499E-5"/>
    <n v="2.2818976695667293E-4"/>
  </r>
  <r>
    <s v="TOYS"/>
    <x v="3"/>
    <s v="Одежда"/>
    <s v="Основная одежда"/>
    <s v="Основная одежда для мужчин"/>
    <s v="Свитшот для мужчин"/>
    <m/>
    <x v="0"/>
    <x v="0"/>
    <s v="да"/>
    <n v="0"/>
    <n v="0"/>
    <n v="0"/>
    <n v="0"/>
    <n v="0"/>
    <n v="0"/>
    <n v="0"/>
    <n v="0"/>
    <n v="0"/>
    <n v="189"/>
    <n v="434747.00000000006"/>
    <n v="390"/>
    <n v="1.4051405013074632E-3"/>
    <n v="7.0630165962779715E-4"/>
  </r>
  <r>
    <s v="TOYS"/>
    <x v="3"/>
    <s v="Одежда"/>
    <s v="Верхняя одежда"/>
    <s v="Верхняя одежда для женщин"/>
    <s v="Пуховик для женщин"/>
    <m/>
    <x v="0"/>
    <x v="2"/>
    <s v="да"/>
    <n v="0"/>
    <n v="0"/>
    <n v="0"/>
    <n v="0"/>
    <n v="0"/>
    <n v="0"/>
    <n v="0"/>
    <n v="0"/>
    <n v="0"/>
    <n v="156"/>
    <n v="2255283.9300000002"/>
    <n v="4414"/>
    <n v="7.2892758132680983E-3"/>
    <n v="7.9938859630694775E-3"/>
  </r>
  <r>
    <s v="TOYS"/>
    <x v="3"/>
    <s v="Обувь"/>
    <s v="Кеды, кроссовки, слипоны"/>
    <s v="Кеды, кроссовки, слипоны для мужчин"/>
    <s v="Кеды для мужчин"/>
    <m/>
    <x v="0"/>
    <x v="1"/>
    <s v="да"/>
    <n v="0"/>
    <n v="0"/>
    <n v="0"/>
    <n v="0"/>
    <n v="0"/>
    <n v="0"/>
    <n v="0"/>
    <n v="0"/>
    <n v="0"/>
    <n v="326"/>
    <n v="1024085.3399999997"/>
    <n v="386"/>
    <n v="3.3099337960451102E-3"/>
    <n v="6.9905754004187103E-4"/>
  </r>
  <r>
    <s v="HOBBIES&amp;SCHOOL"/>
    <x v="1"/>
    <s v="Книги, хобби, канцелярия"/>
    <s v="Хобби"/>
    <s v="Товары для рисования"/>
    <s v="Пастель"/>
    <m/>
    <x v="0"/>
    <x v="0"/>
    <s v="да"/>
    <n v="0"/>
    <n v="0"/>
    <n v="0"/>
    <n v="0"/>
    <n v="0"/>
    <n v="0"/>
    <n v="0"/>
    <n v="0"/>
    <n v="0"/>
    <n v="8"/>
    <n v="5401.01"/>
    <n v="13"/>
    <n v="1.7456538858155712E-5"/>
    <n v="2.3543388654259903E-5"/>
  </r>
  <r>
    <s v="DIY"/>
    <x v="6"/>
    <s v="Спорт и активный отдых"/>
    <s v="Рыбалка"/>
    <s v="Аксессуары рыболовные"/>
    <s v="Рыболовные коробки и ящики"/>
    <m/>
    <x v="0"/>
    <x v="1"/>
    <s v="да"/>
    <n v="0"/>
    <n v="0"/>
    <n v="0"/>
    <n v="0"/>
    <n v="0"/>
    <n v="0"/>
    <n v="0"/>
    <n v="0"/>
    <n v="0"/>
    <n v="31"/>
    <n v="22249.859999999997"/>
    <n v="96"/>
    <n v="7.1913502415015787E-5"/>
    <n v="1.7385887006222698E-4"/>
  </r>
  <r>
    <s v="TOYS"/>
    <x v="1"/>
    <s v="Книги, хобби, канцелярия"/>
    <s v="Канцелярия"/>
    <s v="Сумки, рюкзаки и ранцы"/>
    <s v="Детские рюкзаки"/>
    <m/>
    <x v="0"/>
    <x v="0"/>
    <s v="да"/>
    <n v="0"/>
    <n v="0"/>
    <n v="0"/>
    <n v="0"/>
    <n v="0"/>
    <n v="0"/>
    <n v="0"/>
    <n v="0"/>
    <n v="0"/>
    <n v="7"/>
    <n v="63436.460000000006"/>
    <n v="101"/>
    <n v="2.050322123110012E-4"/>
    <n v="1.8291401954463463E-4"/>
  </r>
  <r>
    <s v="DIY"/>
    <x v="6"/>
    <s v="Спорт и активный отдых"/>
    <s v="Туризм и спелеология"/>
    <s v="Туризм"/>
    <s v="Туристические коврики и сидушки"/>
    <m/>
    <x v="0"/>
    <x v="1"/>
    <s v="да"/>
    <n v="0"/>
    <n v="0"/>
    <n v="0"/>
    <n v="0"/>
    <n v="0"/>
    <n v="0"/>
    <n v="0"/>
    <n v="0"/>
    <n v="0"/>
    <n v="5"/>
    <n v="2638"/>
    <n v="4"/>
    <n v="8.5262477773258644E-6"/>
    <n v="7.2441195859261247E-6"/>
  </r>
  <r>
    <s v="DIY"/>
    <x v="5"/>
    <s v="Бытовая техника и Электроника"/>
    <s v="Потребительская электроника"/>
    <s v="Телевизоры"/>
    <s v="Диагональ до 24"/>
    <m/>
    <x v="0"/>
    <x v="1"/>
    <s v="да"/>
    <n v="0"/>
    <n v="0"/>
    <n v="0"/>
    <n v="0"/>
    <n v="0"/>
    <n v="0"/>
    <n v="0"/>
    <n v="0"/>
    <n v="0"/>
    <n v="4"/>
    <n v="133092"/>
    <n v="12"/>
    <n v="4.3016503759660881E-4"/>
    <n v="2.1732358757778372E-5"/>
  </r>
  <r>
    <s v="HOUSEHOLD"/>
    <x v="4"/>
    <s v="Товары для дома"/>
    <s v="Декор помещений"/>
    <s v="Декоративные объекты"/>
    <s v="Фоторамка"/>
    <m/>
    <x v="1"/>
    <x v="0"/>
    <s v="да"/>
    <n v="0"/>
    <n v="0"/>
    <n v="0"/>
    <n v="0"/>
    <n v="0"/>
    <n v="0"/>
    <n v="0"/>
    <n v="0"/>
    <n v="0"/>
    <n v="1"/>
    <n v="1759"/>
    <n v="4"/>
    <n v="5.6852425475042443E-6"/>
    <n v="7.2441195859261247E-6"/>
  </r>
  <r>
    <s v="DIY"/>
    <x v="6"/>
    <s v="Спорт и активный отдых"/>
    <s v="Боевые искусства и единоборства"/>
    <s v="Бокс"/>
    <s v="Бокс"/>
    <m/>
    <x v="0"/>
    <x v="0"/>
    <s v="да"/>
    <n v="0"/>
    <n v="0"/>
    <n v="0"/>
    <n v="0"/>
    <n v="0"/>
    <n v="0"/>
    <n v="0"/>
    <n v="0"/>
    <n v="0"/>
    <n v="17"/>
    <n v="33609.629999999997"/>
    <n v="122"/>
    <n v="1.0862927713580162E-4"/>
    <n v="2.2094564737074681E-4"/>
  </r>
  <r>
    <s v="DIY"/>
    <x v="4"/>
    <s v="Автомобильные товары и запчасти"/>
    <s v="Автокосметика и автохимия"/>
    <s v="Очистители салона"/>
    <s v="Очиститель салона автомобиля"/>
    <m/>
    <x v="0"/>
    <x v="0"/>
    <s v="да"/>
    <n v="0"/>
    <n v="0"/>
    <n v="0"/>
    <n v="0"/>
    <n v="0"/>
    <n v="0"/>
    <n v="0"/>
    <n v="0"/>
    <n v="0"/>
    <n v="11"/>
    <n v="28397.429999999997"/>
    <n v="106"/>
    <n v="9.1782988786681883E-5"/>
    <n v="1.9196916902704229E-4"/>
  </r>
  <r>
    <s v="TOYS"/>
    <x v="1"/>
    <s v="Детские товары"/>
    <s v="Детская одежда"/>
    <s v="Одежда для девочек"/>
    <s v="Джемперы и свитшоты для девочек"/>
    <m/>
    <x v="0"/>
    <x v="0"/>
    <s v="да"/>
    <n v="0"/>
    <n v="0"/>
    <n v="0"/>
    <n v="0"/>
    <n v="0"/>
    <n v="0"/>
    <n v="0"/>
    <n v="0"/>
    <n v="0"/>
    <n v="76"/>
    <n v="59964.97"/>
    <n v="219"/>
    <n v="1.9381205162240795E-4"/>
    <n v="3.9661554732945531E-4"/>
  </r>
  <r>
    <s v="BEAUTY&amp;HEALTH&amp; PHARMA"/>
    <x v="2"/>
    <s v="Гигиена"/>
    <s v="Первая помощь"/>
    <s v="Уход за ранами"/>
    <s v="Прочие"/>
    <m/>
    <x v="1"/>
    <x v="0"/>
    <s v="да"/>
    <n v="3"/>
    <n v="0"/>
    <n v="3"/>
    <n v="3"/>
    <n v="0"/>
    <n v="3"/>
    <n v="0"/>
    <n v="0"/>
    <n v="0"/>
    <n v="1"/>
    <n v="1653.77"/>
    <n v="21"/>
    <n v="5.3451299418909007E-6"/>
    <n v="3.8031627826112152E-5"/>
  </r>
  <r>
    <s v="DIY"/>
    <x v="4"/>
    <s v="Ремонт и обустройство дома"/>
    <s v="Строительство и ремонт"/>
    <s v="Напольные покрытия"/>
    <s v="Коврики грязезащитные"/>
    <m/>
    <x v="0"/>
    <x v="0"/>
    <s v="нет"/>
    <n v="0"/>
    <n v="0"/>
    <n v="0"/>
    <n v="0"/>
    <n v="0"/>
    <n v="0"/>
    <n v="0"/>
    <n v="0"/>
    <n v="0"/>
    <n v="27"/>
    <n v="41062.92"/>
    <n v="167"/>
    <n v="1.3271896526933653E-4"/>
    <n v="3.0244199271241572E-4"/>
  </r>
  <r>
    <s v="FOODZOO"/>
    <x v="2"/>
    <s v="Гигиена"/>
    <s v="Бритье"/>
    <s v="После бритья"/>
    <s v="После бритья бальзамы"/>
    <m/>
    <x v="1"/>
    <x v="1"/>
    <s v="да"/>
    <n v="0"/>
    <n v="0"/>
    <n v="0"/>
    <n v="0"/>
    <n v="0"/>
    <n v="0"/>
    <n v="0"/>
    <n v="0"/>
    <n v="0"/>
    <n v="2"/>
    <n v="1638.56"/>
    <n v="6"/>
    <n v="5.2959698855250449E-6"/>
    <n v="1.0866179378889186E-5"/>
  </r>
  <r>
    <s v="TOYS"/>
    <x v="3"/>
    <s v="Аксессуары"/>
    <s v="Аксессуары прочие"/>
    <s v="Аксессуары общие"/>
    <s v="Аксессуары разное"/>
    <m/>
    <x v="0"/>
    <x v="2"/>
    <s v="да"/>
    <n v="0"/>
    <n v="0"/>
    <n v="0"/>
    <n v="0"/>
    <n v="0"/>
    <n v="0"/>
    <n v="0"/>
    <n v="0"/>
    <n v="0"/>
    <n v="10"/>
    <n v="85954"/>
    <n v="34"/>
    <n v="2.7781088000465023E-4"/>
    <n v="6.1575016480372059E-5"/>
  </r>
  <r>
    <s v="HOBBIES&amp;SCHOOL"/>
    <x v="1"/>
    <s v="Книги, хобби, канцелярия"/>
    <s v="Канцелярия"/>
    <s v="Бумажная продукция"/>
    <s v="Дневники школьные, расписания уроков"/>
    <m/>
    <x v="0"/>
    <x v="1"/>
    <s v="да"/>
    <n v="0"/>
    <n v="0"/>
    <n v="0"/>
    <n v="0"/>
    <n v="0"/>
    <n v="0"/>
    <n v="0"/>
    <n v="0"/>
    <n v="0"/>
    <n v="18"/>
    <n v="8831.1500000000015"/>
    <n v="149"/>
    <n v="2.8543052713696483E-5"/>
    <n v="2.6984345457574816E-4"/>
  </r>
  <r>
    <s v="HOUSEHOLD"/>
    <x v="4"/>
    <s v="Праздничные и сезонные товары"/>
    <s v="Новогодние товары"/>
    <s v="Новогодние украшения для дома"/>
    <s v="Наклейки новогодние"/>
    <m/>
    <x v="1"/>
    <x v="2"/>
    <s v="да"/>
    <n v="0"/>
    <n v="0"/>
    <n v="0"/>
    <n v="0"/>
    <n v="0"/>
    <n v="0"/>
    <n v="0"/>
    <n v="0"/>
    <n v="0"/>
    <n v="5"/>
    <n v="1595"/>
    <n v="40"/>
    <n v="5.1551801382997556E-6"/>
    <n v="7.2441195859261243E-5"/>
  </r>
  <r>
    <s v="TOYS"/>
    <x v="1"/>
    <s v="Детские товары"/>
    <s v="Детская одежда"/>
    <s v="Одежда для девочек"/>
    <s v="Легинсы для девочек"/>
    <m/>
    <x v="0"/>
    <x v="0"/>
    <s v="да"/>
    <n v="0"/>
    <n v="0"/>
    <n v="0"/>
    <n v="0"/>
    <n v="0"/>
    <n v="0"/>
    <n v="0"/>
    <n v="0"/>
    <n v="0"/>
    <n v="48"/>
    <n v="23507.040000000005"/>
    <n v="165"/>
    <n v="7.597681863211154E-5"/>
    <n v="2.9881993291945265E-4"/>
  </r>
  <r>
    <s v="TOYS"/>
    <x v="3"/>
    <s v="Одежда"/>
    <s v="Основная одежда"/>
    <s v="Основная одежда для женщин"/>
    <s v="Пиджак для женщин"/>
    <m/>
    <x v="0"/>
    <x v="1"/>
    <s v="да"/>
    <n v="0"/>
    <n v="0"/>
    <n v="0"/>
    <n v="0"/>
    <n v="0"/>
    <n v="0"/>
    <n v="0"/>
    <n v="0"/>
    <n v="0"/>
    <n v="43"/>
    <n v="226809.99000000005"/>
    <n v="174"/>
    <n v="7.3306981543320776E-4"/>
    <n v="3.151192019877864E-4"/>
  </r>
  <r>
    <s v="DIY"/>
    <x v="5"/>
    <s v="Компьютеры и аксессуары"/>
    <s v="IT/Office"/>
    <s v="Мобильные и стационарные компьютеры"/>
    <s v="Игровой руль"/>
    <m/>
    <x v="0"/>
    <x v="0"/>
    <s v="да"/>
    <n v="0"/>
    <n v="0"/>
    <n v="0"/>
    <n v="0"/>
    <n v="0"/>
    <n v="0"/>
    <n v="0"/>
    <n v="0"/>
    <n v="0"/>
    <n v="1"/>
    <n v="19232"/>
    <n v="2"/>
    <n v="6.2159513742809333E-5"/>
    <n v="3.6220597929630623E-6"/>
  </r>
  <r>
    <s v="TOYS"/>
    <x v="3"/>
    <s v="Аксессуары"/>
    <s v="Головные уборы"/>
    <s v="Головные уборы для женщин"/>
    <s v="Комплект женский"/>
    <m/>
    <x v="0"/>
    <x v="1"/>
    <s v="да"/>
    <n v="0"/>
    <n v="0"/>
    <n v="0"/>
    <n v="0"/>
    <n v="0"/>
    <n v="0"/>
    <n v="0"/>
    <n v="0"/>
    <n v="0"/>
    <n v="18"/>
    <n v="88605.96"/>
    <n v="270"/>
    <n v="2.8638224772851572E-4"/>
    <n v="4.8897807205001336E-4"/>
  </r>
  <r>
    <s v="DIY"/>
    <x v="5"/>
    <s v="Компьютеры и аксессуары"/>
    <s v="IT/Office"/>
    <s v="Мобильные и стационарные компьютеры"/>
    <s v="Наушники для компьютера"/>
    <m/>
    <x v="0"/>
    <x v="1"/>
    <s v="да"/>
    <n v="0"/>
    <n v="0"/>
    <n v="0"/>
    <n v="0"/>
    <n v="0"/>
    <n v="0"/>
    <n v="0"/>
    <n v="0"/>
    <n v="0"/>
    <n v="14"/>
    <n v="25571.219999999998"/>
    <n v="50"/>
    <n v="8.264842975303665E-5"/>
    <n v="9.0551494824076551E-5"/>
  </r>
  <r>
    <s v="TOYS"/>
    <x v="1"/>
    <s v="Детские товары"/>
    <s v="Детская одежда"/>
    <s v="Одежда для девочек"/>
    <s v="Комплекты для девочек"/>
    <m/>
    <x v="0"/>
    <x v="0"/>
    <s v="да"/>
    <n v="0"/>
    <n v="0"/>
    <n v="0"/>
    <n v="0"/>
    <n v="0"/>
    <n v="0"/>
    <n v="0"/>
    <n v="0"/>
    <n v="0"/>
    <n v="44"/>
    <n v="36407.21"/>
    <n v="135"/>
    <n v="1.1767130149398634E-4"/>
    <n v="2.4448903602500668E-4"/>
  </r>
  <r>
    <s v="TOYS"/>
    <x v="1"/>
    <s v="Книги, хобби, канцелярия"/>
    <s v="Канцелярия"/>
    <s v="Сумки, рюкзаки и ранцы"/>
    <s v="Школьные рюкзаки, ранцы"/>
    <m/>
    <x v="0"/>
    <x v="0"/>
    <s v="да"/>
    <n v="0"/>
    <n v="0"/>
    <n v="0"/>
    <n v="0"/>
    <n v="0"/>
    <n v="0"/>
    <n v="0"/>
    <n v="0"/>
    <n v="0"/>
    <n v="6"/>
    <n v="17503.27"/>
    <n v="21"/>
    <n v="5.6572106494857657E-5"/>
    <n v="3.8031627826112152E-5"/>
  </r>
  <r>
    <s v="DIY"/>
    <x v="6"/>
    <s v="Спорт и активный отдых"/>
    <s v="Рыбалка"/>
    <s v="Рыболовные приманки и прикормки"/>
    <s v="Рыболовная приманка"/>
    <m/>
    <x v="0"/>
    <x v="1"/>
    <s v="да"/>
    <n v="0"/>
    <n v="0"/>
    <n v="0"/>
    <n v="0"/>
    <n v="0"/>
    <n v="0"/>
    <n v="0"/>
    <n v="0"/>
    <n v="0"/>
    <n v="187"/>
    <n v="56054.110000000008"/>
    <n v="407"/>
    <n v="1.8117180849032584E-4"/>
    <n v="7.370891678679832E-4"/>
  </r>
  <r>
    <s v="DIY"/>
    <x v="6"/>
    <s v="Спорт и активный отдых"/>
    <s v="Боевые искусства и единоборства"/>
    <s v="Снаряжение для единоборств и боевых искусств"/>
    <s v="Тренировочное оружие для единоборств"/>
    <m/>
    <x v="0"/>
    <x v="0"/>
    <s v="да"/>
    <n v="0"/>
    <n v="0"/>
    <n v="0"/>
    <n v="0"/>
    <n v="0"/>
    <n v="0"/>
    <n v="0"/>
    <n v="0"/>
    <n v="0"/>
    <n v="2"/>
    <n v="13417.34"/>
    <n v="54"/>
    <n v="4.3366021740949743E-5"/>
    <n v="9.7795614410002674E-5"/>
  </r>
  <r>
    <s v="DIY"/>
    <x v="5"/>
    <s v="Бытовая техника и Электроника"/>
    <s v="Малая бытовая техника"/>
    <s v="Техника для кухни"/>
    <s v="Микроволновая печь соло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Садовый инвентарь"/>
    <s v="Инвентарь для сада"/>
    <s v="Средства защиты во время работы"/>
    <m/>
    <x v="1"/>
    <x v="1"/>
    <s v="да"/>
    <n v="0"/>
    <n v="0"/>
    <n v="0"/>
    <n v="0"/>
    <n v="0"/>
    <n v="0"/>
    <n v="0"/>
    <n v="0"/>
    <n v="0"/>
    <n v="3"/>
    <n v="1445"/>
    <n v="13"/>
    <n v="4.6703669591493077E-6"/>
    <n v="2.3543388654259903E-5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стиральных и сушильных машин"/>
    <m/>
    <x v="0"/>
    <x v="0"/>
    <s v="да"/>
    <n v="0"/>
    <n v="0"/>
    <n v="0"/>
    <n v="0"/>
    <n v="0"/>
    <n v="0"/>
    <n v="0"/>
    <n v="0"/>
    <n v="0"/>
    <n v="1"/>
    <n v="421"/>
    <n v="1"/>
    <n v="1.3607089894822551E-6"/>
    <n v="1.8110298964815312E-6"/>
  </r>
  <r>
    <s v="DIY"/>
    <x v="6"/>
    <s v="Спорт и активный отдых"/>
    <s v="Тренажеры и фитнес"/>
    <s v="Тренажеры и фитнес"/>
    <s v="Аксессуары для тяжелой атлетики"/>
    <m/>
    <x v="0"/>
    <x v="0"/>
    <s v="да"/>
    <n v="0"/>
    <n v="0"/>
    <n v="0"/>
    <n v="0"/>
    <n v="0"/>
    <n v="0"/>
    <n v="0"/>
    <n v="0"/>
    <n v="0"/>
    <n v="9"/>
    <n v="5206.5700000000006"/>
    <n v="39"/>
    <n v="1.6828091694462294E-5"/>
    <n v="7.0630165962779713E-5"/>
  </r>
  <r>
    <s v="DIY"/>
    <x v="4"/>
    <s v="Праздничные и сезонные товары"/>
    <s v="Семена, удобрения и уход за растениями"/>
    <s v="Выращивание рассады"/>
    <s v="Фитолампы"/>
    <m/>
    <x v="1"/>
    <x v="2"/>
    <s v="да"/>
    <n v="0"/>
    <n v="0"/>
    <n v="0"/>
    <n v="0"/>
    <n v="0"/>
    <n v="0"/>
    <n v="0"/>
    <n v="0"/>
    <n v="0"/>
    <n v="1"/>
    <n v="1345"/>
    <n v="5"/>
    <n v="4.3471581730490096E-6"/>
    <n v="9.0551494824076554E-6"/>
  </r>
  <r>
    <s v="DIY"/>
    <x v="4"/>
    <s v="Праздничные и сезонные товары"/>
    <s v="Обустройство дачи и сада"/>
    <s v="Цветочные кашпо и горшки для сада"/>
    <s v="Цветочные кашпо и горшки"/>
    <m/>
    <x v="1"/>
    <x v="1"/>
    <s v="да"/>
    <n v="0"/>
    <n v="0"/>
    <n v="0"/>
    <n v="10"/>
    <n v="0"/>
    <n v="10"/>
    <n v="10"/>
    <n v="0"/>
    <n v="10"/>
    <n v="2"/>
    <n v="1243.21"/>
    <n v="3"/>
    <n v="4.0181639496775166E-6"/>
    <n v="5.4330896894445931E-6"/>
  </r>
  <r>
    <s v="FOODZOO"/>
    <x v="2"/>
    <s v="Гигиена"/>
    <s v="Бумажная продукция"/>
    <s v="Бумажные салфетки и платки"/>
    <s v="Бумажные салфетки столовые"/>
    <m/>
    <x v="1"/>
    <x v="0"/>
    <s v="да"/>
    <n v="0"/>
    <n v="0"/>
    <n v="0"/>
    <n v="0"/>
    <n v="0"/>
    <n v="0"/>
    <n v="0"/>
    <n v="0"/>
    <n v="0"/>
    <n v="3"/>
    <n v="1234"/>
    <n v="12"/>
    <n v="3.9883964204776791E-6"/>
    <n v="2.1732358757778372E-5"/>
  </r>
  <r>
    <s v="BEAUTY&amp;HEALTH&amp; PHARMA"/>
    <x v="0"/>
    <s v="Парфюмерия и декоративная косметика"/>
    <s v="Декоративная косметика"/>
    <s v="Аксессуары"/>
    <s v="Кисти для губ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Очищение"/>
    <s v="Умывание-селектив"/>
    <m/>
    <x v="0"/>
    <x v="1"/>
    <s v="да"/>
    <n v="0"/>
    <n v="0"/>
    <n v="0"/>
    <n v="0"/>
    <n v="0"/>
    <n v="0"/>
    <n v="0"/>
    <n v="0"/>
    <n v="0"/>
    <n v="3"/>
    <n v="47858.01"/>
    <n v="105"/>
    <n v="1.5468129317275931E-4"/>
    <n v="1.9015813913056076E-4"/>
  </r>
  <r>
    <s v="HOUSEHOLD"/>
    <x v="4"/>
    <s v="Товары для дома"/>
    <s v="Домашний текстиль"/>
    <s v="Декор окна"/>
    <s v="Карнизы для штор"/>
    <m/>
    <x v="0"/>
    <x v="0"/>
    <s v="нет"/>
    <n v="0"/>
    <n v="0"/>
    <n v="0"/>
    <n v="0"/>
    <n v="0"/>
    <n v="0"/>
    <n v="0"/>
    <n v="0"/>
    <n v="0"/>
    <n v="2"/>
    <n v="372"/>
    <n v="5"/>
    <n v="1.202336684293109E-6"/>
    <n v="9.0551494824076554E-6"/>
  </r>
  <r>
    <s v="HOBBIES&amp;SCHOOL"/>
    <x v="1"/>
    <s v="Книги, хобби, канцелярия"/>
    <s v="Книги"/>
    <s v="Периодические издания"/>
    <s v="Журнал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5"/>
    <s v="Смартфоны и гаджеты"/>
    <s v="Смарт-часы и браслеты"/>
    <s v="Смарт-часы"/>
    <s v="Смарт-часы Apple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женщин"/>
    <s v="Наушники"/>
    <m/>
    <x v="0"/>
    <x v="1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Балаклава мужская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Самоклеящиеся закладки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Обувь"/>
    <s v="Уход и аксессуары для обуви"/>
    <s v="Аксессуары для обуви"/>
    <s v="Подушечки для обуви"/>
    <m/>
    <x v="0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Microsoft XBOX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Автомобильные товары и запчасти"/>
    <s v="Автокосметика и автохимия"/>
    <s v="Салфетки для авто"/>
    <s v="Влажные салфетки для авто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Защитная одежда и принадлежности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Головные уборы"/>
    <s v="Головные уборы для мужчин"/>
    <s v="Комплект мужской"/>
    <m/>
    <x v="0"/>
    <x v="1"/>
    <s v="нет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Демонстрационное оборудование"/>
    <s v="Пробковые доски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30-35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Sony PlayStation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60-65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Гигиена"/>
    <s v="Бумажная продукция"/>
    <s v="Туалетная бумага"/>
    <s v="Влажная туалетная бумага"/>
    <m/>
    <x v="1"/>
    <x v="0"/>
    <s v="да"/>
    <n v="0"/>
    <n v="0"/>
    <n v="0"/>
    <n v="0"/>
    <n v="0"/>
    <n v="0"/>
    <n v="0"/>
    <n v="0"/>
    <n v="0"/>
    <n v="3"/>
    <n v="1126"/>
    <n v="7"/>
    <n v="3.6393309314893569E-6"/>
    <n v="1.2677209275370719E-5"/>
  </r>
  <r>
    <s v="DIY"/>
    <x v="5"/>
    <s v="Смартфоны и гаджеты"/>
    <s v="Telecom"/>
    <s v="Операторы сотовой связи"/>
    <s v="СберМобайл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Климатическая техника"/>
    <s v="Кондиционеры"/>
    <s v="Кондиционер мобильный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Автомобильные товары и запчасти"/>
    <s v="Запчасти"/>
    <s v="Автозапчасти общая"/>
    <s v="Автозапчасти общая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Телевизоры"/>
    <s v="Диагональ 55-59"/>
    <m/>
    <x v="0"/>
    <x v="1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Смартфоны и гаджеты"/>
    <s v="Telecom"/>
    <s v="Операторы сотовой связи"/>
    <s v="SIM карты Yota"/>
    <m/>
    <x v="0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Товары для кормления кошек"/>
    <s v="Коврики под миску для кошек"/>
    <m/>
    <x v="0"/>
    <x v="3"/>
    <s v="да"/>
    <n v="1"/>
    <n v="0"/>
    <n v="1"/>
    <n v="1"/>
    <n v="0"/>
    <n v="1"/>
    <n v="0"/>
    <n v="0"/>
    <n v="0"/>
    <n v="1"/>
    <n v="603.24"/>
    <n v="1"/>
    <n v="1.9497246812714383E-6"/>
    <n v="1.8110298964815312E-6"/>
  </r>
  <r>
    <s v="TOYS"/>
    <x v="3"/>
    <s v="Аксессуары"/>
    <s v="Аксессуары для путешествий"/>
    <s v="Аксессуары для путешествий и поездок"/>
    <s v="Органайзер"/>
    <m/>
    <x v="0"/>
    <x v="1"/>
    <s v="да"/>
    <n v="1"/>
    <n v="0"/>
    <n v="1"/>
    <n v="1"/>
    <n v="0"/>
    <n v="1"/>
    <n v="0"/>
    <n v="0"/>
    <n v="0"/>
    <n v="0"/>
    <n v="0"/>
    <n v="0"/>
    <n v="0"/>
    <n v="0"/>
  </r>
  <r>
    <s v="TOYS"/>
    <x v="3"/>
    <s v="Аксессуары"/>
    <s v="Аксессуары для путешествий"/>
    <s v="Аксессуары для путешествий и багажа"/>
    <s v="Чехол для чемодана"/>
    <m/>
    <x v="0"/>
    <x v="1"/>
    <s v="да"/>
    <n v="1"/>
    <n v="0"/>
    <n v="1"/>
    <n v="1"/>
    <n v="0"/>
    <n v="1"/>
    <n v="0"/>
    <n v="0"/>
    <n v="0"/>
    <n v="2"/>
    <n v="1682"/>
    <n v="2"/>
    <n v="5.4363717822070145E-6"/>
    <n v="3.6220597929630623E-6"/>
  </r>
  <r>
    <s v="BEAUTY&amp;HEALTH&amp; PHARMA"/>
    <x v="2"/>
    <s v="Уход"/>
    <s v="Уход за кожей лица"/>
    <s v="Очищение"/>
    <s v="Молочко"/>
    <m/>
    <x v="0"/>
    <x v="1"/>
    <s v="нет"/>
    <n v="1"/>
    <n v="1"/>
    <n v="2"/>
    <n v="2"/>
    <n v="0"/>
    <n v="2"/>
    <n v="1"/>
    <n v="-1"/>
    <n v="0"/>
    <n v="12"/>
    <n v="77302.61"/>
    <n v="379"/>
    <n v="2.4984882740484765E-4"/>
    <n v="6.8638033076650034E-4"/>
  </r>
  <r>
    <s v="BEAUTY&amp;HEALTH&amp; PHARMA"/>
    <x v="2"/>
    <s v="Уход"/>
    <s v="Аксессуары для ухода"/>
    <s v="Аксессуары для лица и тела"/>
    <s v="Аксессуары для тела"/>
    <m/>
    <x v="0"/>
    <x v="1"/>
    <s v="да"/>
    <n v="1"/>
    <n v="1"/>
    <n v="2"/>
    <n v="2"/>
    <n v="0"/>
    <n v="2"/>
    <n v="1"/>
    <n v="-1"/>
    <n v="0"/>
    <n v="23"/>
    <n v="26584.730000000003"/>
    <n v="89"/>
    <n v="8.5924183121041794E-5"/>
    <n v="1.6118166078685626E-4"/>
  </r>
  <r>
    <s v="BEAUTY&amp;HEALTH&amp; PHARMA"/>
    <x v="2"/>
    <s v="Уход"/>
    <s v="Уход за кожей рук"/>
    <s v="Спец. уход за кожей рук(скрабы,пилинги,ванночки)"/>
    <s v="Спец. уход за кожей рук(скрабы,пилинги,ванночки)"/>
    <m/>
    <x v="0"/>
    <x v="0"/>
    <s v="да"/>
    <n v="1"/>
    <n v="1"/>
    <n v="2"/>
    <n v="2"/>
    <n v="0"/>
    <n v="2"/>
    <n v="1"/>
    <n v="-1"/>
    <n v="0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лица"/>
    <s v="Тональные средства"/>
    <m/>
    <x v="0"/>
    <x v="0"/>
    <s v="да"/>
    <n v="2"/>
    <n v="1"/>
    <n v="3"/>
    <n v="3"/>
    <n v="0"/>
    <n v="3"/>
    <n v="1"/>
    <n v="-1"/>
    <n v="0"/>
    <n v="305"/>
    <n v="1907762.24"/>
    <n v="1996"/>
    <n v="6.1660551775838566E-3"/>
    <n v="3.6148156733771361E-3"/>
  </r>
  <r>
    <s v="DIY"/>
    <x v="5"/>
    <s v="Бытовая техника и Электроника"/>
    <s v="Климатическая техника"/>
    <s v="Системы очистки и обработки воздуха"/>
    <s v="Увлажнитель воздуха"/>
    <m/>
    <x v="0"/>
    <x v="0"/>
    <s v="да"/>
    <n v="9"/>
    <n v="1"/>
    <n v="10"/>
    <n v="10"/>
    <n v="0"/>
    <n v="10"/>
    <n v="1"/>
    <n v="-1"/>
    <n v="0"/>
    <n v="10"/>
    <n v="166144"/>
    <n v="31"/>
    <n v="5.3699200557847933E-4"/>
    <n v="5.6141926790927467E-5"/>
  </r>
  <r>
    <s v="HOBBIES&amp;SCHOOL"/>
    <x v="1"/>
    <s v="Книги, хобби, канцелярия"/>
    <s v="Хобби"/>
    <s v="Товары для рисования"/>
    <s v="Мелки"/>
    <m/>
    <x v="0"/>
    <x v="0"/>
    <s v="да"/>
    <n v="3"/>
    <n v="1"/>
    <n v="4"/>
    <n v="4"/>
    <n v="0"/>
    <n v="4"/>
    <n v="1"/>
    <n v="-1"/>
    <n v="0"/>
    <n v="2"/>
    <n v="3158.1400000000003"/>
    <n v="20"/>
    <n v="1.0207385957347956E-5"/>
    <n v="3.6220597929630622E-5"/>
  </r>
  <r>
    <s v="FOODZOO"/>
    <x v="2"/>
    <s v="Продукция для животных"/>
    <s v="Наполнители и уход"/>
    <s v="Лотки и совки"/>
    <s v="Лотки"/>
    <m/>
    <x v="0"/>
    <x v="0"/>
    <s v="да"/>
    <n v="0"/>
    <n v="2"/>
    <n v="2"/>
    <n v="1"/>
    <n v="1"/>
    <n v="2"/>
    <n v="1"/>
    <n v="-1"/>
    <n v="0"/>
    <n v="10"/>
    <n v="38428.410000000003"/>
    <n v="85"/>
    <n v="1.2420399747864558E-4"/>
    <n v="1.5393754120093014E-4"/>
  </r>
  <r>
    <s v="TOYS"/>
    <x v="3"/>
    <s v="Аксессуары"/>
    <s v="Зонты и дождевики"/>
    <s v="Зонты и дождевики"/>
    <s v="Дождевик"/>
    <m/>
    <x v="0"/>
    <x v="1"/>
    <s v="да"/>
    <n v="0"/>
    <n v="2"/>
    <n v="2"/>
    <n v="1"/>
    <n v="1"/>
    <n v="2"/>
    <n v="1"/>
    <n v="-1"/>
    <n v="0"/>
    <n v="0"/>
    <n v="0"/>
    <n v="0"/>
    <n v="0"/>
    <n v="0"/>
  </r>
  <r>
    <s v="BEAUTY&amp;HEALTH&amp; PHARMA"/>
    <x v="2"/>
    <s v="Уход"/>
    <s v="Средства по уходу за волосами"/>
    <s v="Уход за бородой"/>
    <s v="Средства по уходу за бородой"/>
    <m/>
    <x v="0"/>
    <x v="1"/>
    <s v="нет"/>
    <n v="0"/>
    <n v="1"/>
    <n v="1"/>
    <n v="1"/>
    <n v="0"/>
    <n v="1"/>
    <n v="1"/>
    <n v="-1"/>
    <n v="0"/>
    <n v="9"/>
    <n v="19764.809999999998"/>
    <n v="30"/>
    <n v="6.3881602476030321E-5"/>
    <n v="5.4330896894445936E-5"/>
  </r>
  <r>
    <s v="BEAUTY&amp;HEALTH&amp; PHARMA"/>
    <x v="0"/>
    <s v="Парфюмерия и декоративная косметика"/>
    <s v="Декоративная косметика"/>
    <s v="Для бровей"/>
    <s v="Мыло и воск для бровей"/>
    <m/>
    <x v="0"/>
    <x v="0"/>
    <s v="да"/>
    <n v="0"/>
    <n v="1"/>
    <n v="1"/>
    <n v="1"/>
    <n v="0"/>
    <n v="1"/>
    <n v="1"/>
    <n v="-1"/>
    <n v="0"/>
    <n v="2"/>
    <n v="20756.689999999999"/>
    <n v="22"/>
    <n v="6.7087445783601971E-5"/>
    <n v="3.9842657722593683E-5"/>
  </r>
  <r>
    <s v="FOODZOO"/>
    <x v="2"/>
    <s v="Продукция для животных"/>
    <s v="Аксессуары и игрушки"/>
    <s v="Игрушки для собак"/>
    <s v="Кольца и тарелки"/>
    <m/>
    <x v="0"/>
    <x v="0"/>
    <s v="да"/>
    <n v="0"/>
    <n v="1"/>
    <n v="1"/>
    <n v="1"/>
    <n v="0"/>
    <n v="1"/>
    <n v="1"/>
    <n v="-1"/>
    <n v="0"/>
    <n v="1"/>
    <n v="229"/>
    <n v="1"/>
    <n v="7.401481201696827E-7"/>
    <n v="1.8110298964815312E-6"/>
  </r>
  <r>
    <s v="FOODZOO"/>
    <x v="2"/>
    <s v="Продукция для животных"/>
    <s v="Наполнители и уход"/>
    <s v="Уход за кошками"/>
    <s v="Уход за шерстью для кошек"/>
    <m/>
    <x v="0"/>
    <x v="0"/>
    <s v="да"/>
    <n v="0"/>
    <n v="2"/>
    <n v="2"/>
    <n v="1"/>
    <n v="1"/>
    <n v="2"/>
    <n v="1"/>
    <n v="-1"/>
    <n v="0"/>
    <n v="68"/>
    <n v="2441309.2099999995"/>
    <n v="2871"/>
    <n v="7.8905258625957767E-3"/>
    <n v="5.1994668327984758E-3"/>
  </r>
  <r>
    <s v="FOODZOO"/>
    <x v="2"/>
    <s v="Продукция для животных"/>
    <s v="Аксессуары и игрушки"/>
    <s v="Лежаки и домики для собак"/>
    <s v="Лежаки для собак"/>
    <m/>
    <x v="0"/>
    <x v="0"/>
    <s v="да"/>
    <n v="0"/>
    <n v="1"/>
    <n v="1"/>
    <n v="1"/>
    <n v="0"/>
    <n v="1"/>
    <n v="1"/>
    <n v="-1"/>
    <n v="0"/>
    <n v="2"/>
    <n v="8192.2799999999988"/>
    <n v="9"/>
    <n v="2.6478168741937499E-5"/>
    <n v="1.629926906833378E-5"/>
  </r>
  <r>
    <s v="FOODZOO"/>
    <x v="2"/>
    <s v="Продукция для животных"/>
    <s v="Наполнители и уход"/>
    <s v="Груминг для собак"/>
    <s v="Щетки и расчески для собак"/>
    <m/>
    <x v="0"/>
    <x v="0"/>
    <s v="да"/>
    <n v="0"/>
    <n v="2"/>
    <n v="2"/>
    <n v="1"/>
    <n v="1"/>
    <n v="2"/>
    <n v="1"/>
    <n v="-1"/>
    <n v="0"/>
    <n v="5"/>
    <n v="6734.6699999999992"/>
    <n v="46"/>
    <n v="2.1767045154860947E-5"/>
    <n v="8.3307375238150428E-5"/>
  </r>
  <r>
    <s v="DIY"/>
    <x v="6"/>
    <s v="Спорт и активный отдых"/>
    <s v="Велоспорт"/>
    <s v="Велоаксессуары"/>
    <s v="Аксессуары для велосипедов"/>
    <m/>
    <x v="0"/>
    <x v="1"/>
    <s v="да"/>
    <n v="0"/>
    <n v="2"/>
    <n v="2"/>
    <n v="1"/>
    <n v="1"/>
    <n v="2"/>
    <n v="1"/>
    <n v="-1"/>
    <n v="0"/>
    <n v="8"/>
    <n v="13699.359999999999"/>
    <n v="59"/>
    <n v="4.4277535159509795E-5"/>
    <n v="1.0685076389241034E-4"/>
  </r>
  <r>
    <s v="TOYS"/>
    <x v="1"/>
    <s v="Книги, хобби, канцелярия"/>
    <s v="Канцелярия"/>
    <s v="Сумки, рюкзаки и ранцы"/>
    <s v="Сумки для обуви"/>
    <m/>
    <x v="0"/>
    <x v="1"/>
    <s v="да"/>
    <n v="0"/>
    <n v="1"/>
    <n v="1"/>
    <n v="1"/>
    <n v="0"/>
    <n v="1"/>
    <n v="1"/>
    <n v="-1"/>
    <n v="0"/>
    <n v="3"/>
    <n v="4718.54"/>
    <n v="22"/>
    <n v="1.5250735855657007E-5"/>
    <n v="3.9842657722593683E-5"/>
  </r>
  <r>
    <s v="HOBBIES&amp;SCHOOL"/>
    <x v="1"/>
    <s v="Книги, хобби, канцелярия"/>
    <s v="Хобби"/>
    <s v="Товары для рисования"/>
    <s v="Палитры художественные"/>
    <m/>
    <x v="0"/>
    <x v="0"/>
    <s v="да"/>
    <n v="0"/>
    <n v="1"/>
    <n v="1"/>
    <n v="1"/>
    <n v="0"/>
    <n v="1"/>
    <n v="1"/>
    <n v="-1"/>
    <n v="0"/>
    <n v="3"/>
    <n v="7307.83"/>
    <n v="49"/>
    <n v="2.3619548633273417E-5"/>
    <n v="8.874046492759502E-5"/>
  </r>
  <r>
    <s v="TOYS"/>
    <x v="3"/>
    <s v="Одежда"/>
    <s v="Чулки, носки"/>
    <s v="Чулочно-носочные изделия для женщин"/>
    <s v="Комплект носков для женщин"/>
    <m/>
    <x v="0"/>
    <x v="0"/>
    <s v="да"/>
    <n v="0"/>
    <n v="1"/>
    <n v="1"/>
    <n v="1"/>
    <n v="0"/>
    <n v="1"/>
    <n v="1"/>
    <n v="-1"/>
    <n v="0"/>
    <n v="17"/>
    <n v="22645.449999999997"/>
    <n v="229"/>
    <n v="7.3192084051949957E-5"/>
    <n v="4.1472584629427062E-4"/>
  </r>
  <r>
    <s v="BEAUTY&amp;HEALTH&amp; PHARMA"/>
    <x v="2"/>
    <s v="Уход"/>
    <s v="Средства по уходу за волосами"/>
    <s v="Краска для бровей и ресниц"/>
    <s v="Краска для бровей и ресниц"/>
    <m/>
    <x v="0"/>
    <x v="0"/>
    <s v="да"/>
    <n v="0"/>
    <n v="2"/>
    <n v="2"/>
    <n v="2"/>
    <n v="0"/>
    <n v="2"/>
    <n v="2"/>
    <n v="-2"/>
    <n v="0"/>
    <n v="25"/>
    <n v="68122.449999999983"/>
    <n v="181"/>
    <n v="2.2017774370678249E-4"/>
    <n v="3.2779641126315715E-4"/>
  </r>
  <r>
    <s v="HOBBIES&amp;SCHOOL"/>
    <x v="1"/>
    <s v="Детские товары"/>
    <s v="Игры и игрушки"/>
    <s v="Хобби и творчество"/>
    <s v="Товары для творчества"/>
    <m/>
    <x v="0"/>
    <x v="0"/>
    <s v="да"/>
    <n v="0"/>
    <n v="2"/>
    <n v="2"/>
    <n v="2"/>
    <n v="0"/>
    <n v="2"/>
    <n v="2"/>
    <n v="-2"/>
    <n v="0"/>
    <n v="41"/>
    <n v="31661.710000000003"/>
    <n v="252"/>
    <n v="1.0233342854959671E-4"/>
    <n v="4.5637953391334586E-4"/>
  </r>
  <r>
    <s v="TOYS"/>
    <x v="1"/>
    <s v="Детские товары"/>
    <s v="Детская одежда"/>
    <s v="Детское нижнее бельё"/>
    <s v="Колготки детские"/>
    <m/>
    <x v="0"/>
    <x v="1"/>
    <s v="да"/>
    <n v="0"/>
    <n v="2"/>
    <n v="2"/>
    <n v="2"/>
    <n v="0"/>
    <n v="2"/>
    <n v="2"/>
    <n v="-2"/>
    <n v="0"/>
    <n v="88"/>
    <n v="48778.89"/>
    <n v="192"/>
    <n v="1.5765765824219972E-4"/>
    <n v="3.4771774012445396E-4"/>
  </r>
  <r>
    <s v="FOODZOO"/>
    <x v="2"/>
    <s v="Продукция для животных"/>
    <s v="Аксессуары и игрушки"/>
    <s v="Одежда для собак"/>
    <s v="Одежда для собак"/>
    <m/>
    <x v="0"/>
    <x v="0"/>
    <s v="да"/>
    <n v="0"/>
    <n v="3"/>
    <n v="3"/>
    <n v="3"/>
    <n v="0"/>
    <n v="3"/>
    <n v="3"/>
    <n v="-3"/>
    <n v="0"/>
    <n v="181"/>
    <n v="450848.8299999999"/>
    <n v="1638"/>
    <n v="1.4571830305903965E-3"/>
    <n v="2.966466970436748E-3"/>
  </r>
  <r>
    <s v="BEAUTY&amp;HEALTH&amp; PHARMA"/>
    <x v="0"/>
    <s v="Бады и Витамины"/>
    <s v="Бады"/>
    <s v="Бады для памяти, внимания"/>
    <s v="Бады для памяти, внимания"/>
    <m/>
    <x v="0"/>
    <x v="0"/>
    <s v="да"/>
    <n v="4"/>
    <n v="0"/>
    <n v="4"/>
    <n v="3"/>
    <n v="0"/>
    <n v="3"/>
    <n v="-1"/>
    <n v="0"/>
    <n v="-1"/>
    <n v="0"/>
    <n v="0"/>
    <n v="0"/>
    <n v="0"/>
    <n v="0"/>
  </r>
  <r>
    <s v="DIY"/>
    <x v="4"/>
    <s v="Праздничные и сезонные товары"/>
    <s v="Средства защиты от насекомых, грызунов и вредителей"/>
    <s v="Средства для борьбы с ползающими насекомыми"/>
    <s v="От клещей"/>
    <m/>
    <x v="1"/>
    <x v="2"/>
    <s v="да"/>
    <n v="0"/>
    <n v="0"/>
    <n v="0"/>
    <n v="0"/>
    <n v="0"/>
    <n v="0"/>
    <n v="0"/>
    <n v="0"/>
    <n v="0"/>
    <n v="2"/>
    <n v="1054.8800000000001"/>
    <n v="9"/>
    <n v="3.4094648428148252E-6"/>
    <n v="1.629926906833378E-5"/>
  </r>
  <r>
    <s v="DIY"/>
    <x v="4"/>
    <s v="Праздничные и сезонные товары"/>
    <s v="Семена, удобрения и уход за растениями"/>
    <s v="Выращивание рассады"/>
    <s v="Инструмент для обработки почвы"/>
    <m/>
    <x v="1"/>
    <x v="2"/>
    <s v="да"/>
    <n v="0"/>
    <n v="0"/>
    <n v="0"/>
    <n v="0"/>
    <n v="0"/>
    <n v="0"/>
    <n v="0"/>
    <n v="0"/>
    <n v="0"/>
    <n v="3"/>
    <n v="1040.04"/>
    <n v="4"/>
    <n v="3.3615006589575407E-6"/>
    <n v="7.2441195859261247E-6"/>
  </r>
  <r>
    <s v="DIY"/>
    <x v="4"/>
    <s v="Мебель"/>
    <s v="Комплектующие для мебели"/>
    <s v="Комплектующие для мебели"/>
    <s v="Защитные накладки и протекторы на мебель"/>
    <m/>
    <x v="1"/>
    <x v="0"/>
    <s v="нет"/>
    <n v="0"/>
    <n v="0"/>
    <n v="0"/>
    <n v="2"/>
    <n v="0"/>
    <n v="2"/>
    <n v="2"/>
    <n v="0"/>
    <n v="2"/>
    <n v="3"/>
    <n v="967"/>
    <n v="14"/>
    <n v="3.1254289615898827E-6"/>
    <n v="2.5354418550741437E-5"/>
  </r>
  <r>
    <s v="HOUSEHOLD"/>
    <x v="4"/>
    <s v="Товары для дома"/>
    <s v="Уход за бельем и одеждой"/>
    <s v="Уход за одеждой"/>
    <s v="Сменный блок для ролика"/>
    <m/>
    <x v="1"/>
    <x v="0"/>
    <s v="да"/>
    <n v="0"/>
    <n v="0"/>
    <n v="0"/>
    <n v="2"/>
    <n v="0"/>
    <n v="2"/>
    <n v="2"/>
    <n v="0"/>
    <n v="2"/>
    <n v="1"/>
    <n v="914.83"/>
    <n v="8"/>
    <n v="2.9568109378813577E-6"/>
    <n v="1.4488239171852249E-5"/>
  </r>
  <r>
    <s v="FOODZOO"/>
    <x v="2"/>
    <s v="Гигиена"/>
    <s v="Депиляция"/>
    <s v="Депиляционные средства"/>
    <s v="Депиляционные кремы"/>
    <m/>
    <x v="1"/>
    <x v="0"/>
    <s v="да"/>
    <n v="0"/>
    <n v="0"/>
    <n v="0"/>
    <n v="0"/>
    <n v="0"/>
    <n v="0"/>
    <n v="0"/>
    <n v="0"/>
    <n v="0"/>
    <n v="3"/>
    <n v="764.23"/>
    <n v="6"/>
    <n v="2.4700585060143084E-6"/>
    <n v="1.0866179378889186E-5"/>
  </r>
  <r>
    <s v="BEAUTY&amp;HEALTH&amp; PHARMA"/>
    <x v="2"/>
    <s v="Уход"/>
    <s v="Средства по уходу за волосами"/>
    <s v="Краска для волос"/>
    <s v="Оттеночные и тонирующие средства"/>
    <m/>
    <x v="0"/>
    <x v="0"/>
    <s v="да"/>
    <n v="1"/>
    <n v="0"/>
    <n v="1"/>
    <n v="1"/>
    <n v="0"/>
    <n v="1"/>
    <n v="0"/>
    <n v="0"/>
    <n v="0"/>
    <n v="38"/>
    <n v="111601.07000000002"/>
    <n v="319"/>
    <n v="3.6070446362194405E-4"/>
    <n v="5.7771853697760839E-4"/>
  </r>
  <r>
    <s v="BEAUTY&amp;HEALTH&amp; PHARMA"/>
    <x v="0"/>
    <s v="Товары для взрослых"/>
    <s v="Секс-игрушки"/>
    <s v="Анальные стимуляторы"/>
    <s v="Массажёры простаты"/>
    <m/>
    <x v="0"/>
    <x v="0"/>
    <s v="да"/>
    <n v="1"/>
    <n v="0"/>
    <n v="1"/>
    <n v="0"/>
    <n v="0"/>
    <n v="0"/>
    <n v="-1"/>
    <n v="0"/>
    <n v="-1"/>
    <n v="5"/>
    <n v="11323.75"/>
    <n v="10"/>
    <n v="3.659935491603251E-5"/>
    <n v="1.8110298964815311E-5"/>
  </r>
  <r>
    <s v="BEAUTY&amp;HEALTH&amp; PHARMA"/>
    <x v="5"/>
    <s v="Компьютеры и аксессуары"/>
    <s v="IT/Office"/>
    <s v="Мобильные и стационарные компьютеры"/>
    <s v="Очки для компьютера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Для глаз"/>
    <s v="Средства для роста ресниц и бровей"/>
    <m/>
    <x v="0"/>
    <x v="0"/>
    <s v="да"/>
    <n v="4"/>
    <n v="1"/>
    <n v="5"/>
    <n v="3"/>
    <n v="1"/>
    <n v="4"/>
    <n v="-1"/>
    <n v="0"/>
    <n v="-1"/>
    <n v="25"/>
    <n v="937563.11"/>
    <n v="913"/>
    <n v="3.0302863467552028E-3"/>
    <n v="1.6534702954876378E-3"/>
  </r>
  <r>
    <s v="BEAUTY&amp;HEALTH&amp; PHARMA"/>
    <x v="2"/>
    <s v="Гигиена"/>
    <s v="Средства личной гигиены"/>
    <s v="Перчатки гигиенические"/>
    <s v="Перчатки нитриловые"/>
    <m/>
    <x v="1"/>
    <x v="0"/>
    <s v="да"/>
    <n v="1"/>
    <n v="0"/>
    <n v="1"/>
    <n v="1"/>
    <n v="0"/>
    <n v="1"/>
    <n v="0"/>
    <n v="0"/>
    <n v="0"/>
    <n v="2"/>
    <n v="762.77"/>
    <n v="9"/>
    <n v="2.465339657737244E-6"/>
    <n v="1.629926906833378E-5"/>
  </r>
  <r>
    <s v="DIY"/>
    <x v="5"/>
    <s v="Бытовая техника и Электроника"/>
    <s v="Малая бытовая техника"/>
    <s v="Техника для кухни"/>
    <s v="Кухонный комбайн"/>
    <m/>
    <x v="0"/>
    <x v="0"/>
    <s v="да"/>
    <n v="2"/>
    <n v="0"/>
    <n v="2"/>
    <n v="1"/>
    <n v="0"/>
    <n v="1"/>
    <n v="-1"/>
    <n v="0"/>
    <n v="-1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сер"/>
    <m/>
    <x v="0"/>
    <x v="0"/>
    <s v="да"/>
    <n v="6"/>
    <n v="0"/>
    <n v="6"/>
    <n v="5"/>
    <n v="0"/>
    <n v="5"/>
    <n v="-1"/>
    <n v="0"/>
    <n v="-1"/>
    <n v="15"/>
    <n v="226432.06999999998"/>
    <n v="96"/>
    <n v="7.3184834478877729E-4"/>
    <n v="1.7385887006222698E-4"/>
  </r>
  <r>
    <s v="DIY"/>
    <x v="5"/>
    <s v="Бытовая техника и Электроника"/>
    <s v="Малая бытовая техника"/>
    <s v="Техника для кухни"/>
    <s v="Термопот"/>
    <m/>
    <x v="0"/>
    <x v="0"/>
    <s v="да"/>
    <n v="2"/>
    <n v="0"/>
    <n v="2"/>
    <n v="1"/>
    <n v="0"/>
    <n v="1"/>
    <n v="-1"/>
    <n v="0"/>
    <n v="-1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Электрочайник"/>
    <m/>
    <x v="0"/>
    <x v="0"/>
    <s v="да"/>
    <n v="7"/>
    <n v="1"/>
    <n v="8"/>
    <n v="6"/>
    <n v="1"/>
    <n v="7"/>
    <n v="-1"/>
    <n v="0"/>
    <n v="-1"/>
    <n v="59"/>
    <n v="622966.5199999999"/>
    <n v="313"/>
    <n v="2.0134825271032708E-3"/>
    <n v="5.6685235759871926E-4"/>
  </r>
  <r>
    <s v="DIY"/>
    <x v="5"/>
    <s v="Бытовая техника и Электроника"/>
    <s v="Потребительская электроника"/>
    <s v="Аксессуары для телевизоров"/>
    <s v="Приставки для цифрового ТВ"/>
    <m/>
    <x v="0"/>
    <x v="0"/>
    <s v="да"/>
    <n v="6"/>
    <n v="0"/>
    <n v="6"/>
    <n v="5"/>
    <n v="0"/>
    <n v="5"/>
    <n v="-1"/>
    <n v="0"/>
    <n v="-1"/>
    <n v="1"/>
    <n v="6905.84"/>
    <n v="8"/>
    <n v="2.2320281634028828E-5"/>
    <n v="1.4488239171852249E-5"/>
  </r>
  <r>
    <s v="DIY"/>
    <x v="5"/>
    <s v="Бытовая техника и Электроника"/>
    <s v="Потребительская электроника"/>
    <s v="Аксессуары для телевизоров"/>
    <s v="Проекторы и экраны"/>
    <m/>
    <x v="0"/>
    <x v="0"/>
    <s v="да"/>
    <n v="1"/>
    <n v="0"/>
    <n v="1"/>
    <n v="0"/>
    <n v="0"/>
    <n v="0"/>
    <n v="-1"/>
    <n v="0"/>
    <n v="-1"/>
    <n v="3"/>
    <n v="47779.990000000005"/>
    <n v="3"/>
    <n v="1.5442912567784385E-4"/>
    <n v="5.4330896894445931E-6"/>
  </r>
  <r>
    <s v="DIY"/>
    <x v="5"/>
    <s v="Бытовая техника и Электроника"/>
    <s v="Потребительская электроника"/>
    <s v="Аудиотехника"/>
    <s v="Саундбары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DIY"/>
    <x v="5"/>
    <s v="Бытовая техника и Электроника"/>
    <s v="Потребительская электроника"/>
    <s v="Игровые приставки"/>
    <s v="Nintendo"/>
    <m/>
    <x v="0"/>
    <x v="1"/>
    <s v="да"/>
    <n v="1"/>
    <n v="0"/>
    <n v="1"/>
    <n v="0"/>
    <n v="0"/>
    <n v="0"/>
    <n v="-1"/>
    <n v="0"/>
    <n v="-1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Фотоаппараты моментальной печати"/>
    <m/>
    <x v="0"/>
    <x v="1"/>
    <s v="да"/>
    <n v="1"/>
    <n v="0"/>
    <n v="1"/>
    <n v="0"/>
    <n v="0"/>
    <n v="0"/>
    <n v="-1"/>
    <n v="0"/>
    <n v="-1"/>
    <n v="0"/>
    <n v="0"/>
    <n v="0"/>
    <n v="0"/>
    <n v="0"/>
  </r>
  <r>
    <s v="DIY"/>
    <x v="5"/>
    <s v="Бытовая техника и Электроника"/>
    <s v="Потребительская электроника"/>
    <s v="Фото и видеотехника"/>
    <s v="Экшн-камеры и аксессуары"/>
    <m/>
    <x v="0"/>
    <x v="1"/>
    <s v="да"/>
    <n v="1"/>
    <n v="0"/>
    <n v="1"/>
    <n v="0"/>
    <n v="0"/>
    <n v="0"/>
    <n v="-1"/>
    <n v="0"/>
    <n v="-1"/>
    <n v="2"/>
    <n v="3571.9300000000003"/>
    <n v="12"/>
    <n v="1.154479159335238E-5"/>
    <n v="2.1732358757778372E-5"/>
  </r>
  <r>
    <s v="DIY"/>
    <x v="5"/>
    <s v="Бытовая техника и Электроника"/>
    <s v="Климатическая техника"/>
    <s v="Системы очистки и обработки воздуха"/>
    <s v="Осушитель воздуха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DIY"/>
    <x v="4"/>
    <s v="Автомобильные товары и запчасти"/>
    <s v="Масла, технические жидкости"/>
    <s v="Присадки и промывки"/>
    <s v="Присадка"/>
    <m/>
    <x v="0"/>
    <x v="0"/>
    <s v="да"/>
    <n v="1"/>
    <n v="0"/>
    <n v="1"/>
    <n v="0"/>
    <n v="0"/>
    <n v="0"/>
    <n v="-1"/>
    <n v="0"/>
    <n v="-1"/>
    <n v="3"/>
    <n v="8306.86"/>
    <n v="36"/>
    <n v="2.6848501369051227E-5"/>
    <n v="6.519707627333512E-5"/>
  </r>
  <r>
    <s v="DIY"/>
    <x v="5"/>
    <s v="Компьютеры и аксессуары"/>
    <s v="IT/Office"/>
    <s v="Мобильные и стационарные компьютеры"/>
    <s v="Подставка для ноутбука"/>
    <m/>
    <x v="0"/>
    <x v="0"/>
    <s v="да"/>
    <n v="4"/>
    <n v="2"/>
    <n v="6"/>
    <n v="3"/>
    <n v="2"/>
    <n v="5"/>
    <n v="-1"/>
    <n v="0"/>
    <n v="-1"/>
    <n v="1"/>
    <n v="1186"/>
    <n v="10"/>
    <n v="3.8332562031495359E-6"/>
    <n v="1.8110298964815311E-5"/>
  </r>
  <r>
    <s v="DIY"/>
    <x v="5"/>
    <s v="Компьютеры и аксессуары"/>
    <s v="Комплектующие и аксессуары для ПК"/>
    <s v="Компьютерные комплектующие"/>
    <s v="Термопаста"/>
    <m/>
    <x v="0"/>
    <x v="0"/>
    <s v="да"/>
    <n v="1"/>
    <n v="0"/>
    <n v="1"/>
    <n v="0"/>
    <n v="0"/>
    <n v="0"/>
    <n v="-1"/>
    <n v="0"/>
    <n v="-1"/>
    <n v="3"/>
    <n v="439"/>
    <n v="4"/>
    <n v="1.4188865709803088E-6"/>
    <n v="7.2441195859261247E-6"/>
  </r>
  <r>
    <s v="HOUSEHOLD"/>
    <x v="4"/>
    <s v="Праздничные и сезонные товары"/>
    <s v="Новогодние товары"/>
    <s v="Новогоднее освещение"/>
    <s v="Световая фигура"/>
    <m/>
    <x v="1"/>
    <x v="2"/>
    <s v="да"/>
    <n v="0"/>
    <n v="0"/>
    <n v="0"/>
    <n v="0"/>
    <n v="0"/>
    <n v="0"/>
    <n v="0"/>
    <n v="0"/>
    <n v="0"/>
    <n v="1"/>
    <n v="736"/>
    <n v="6"/>
    <n v="2.3788166656981942E-6"/>
    <n v="1.0866179378889186E-5"/>
  </r>
  <r>
    <s v="DIY"/>
    <x v="5"/>
    <s v="Смартфоны и гаджеты"/>
    <s v="Мобильная аксессуарика"/>
    <s v="Аксессуары для планшетов"/>
    <s v="Стилусы для планшетов"/>
    <m/>
    <x v="0"/>
    <x v="0"/>
    <s v="да"/>
    <n v="1"/>
    <n v="0"/>
    <n v="1"/>
    <n v="0"/>
    <n v="0"/>
    <n v="0"/>
    <n v="-1"/>
    <n v="0"/>
    <n v="-1"/>
    <n v="1"/>
    <n v="179"/>
    <n v="1"/>
    <n v="5.7854372711953367E-7"/>
    <n v="1.8110298964815312E-6"/>
  </r>
  <r>
    <s v="HOUSEHOLD"/>
    <x v="4"/>
    <s v="Товары для дома"/>
    <s v="Уход за бельем и одеждой"/>
    <s v="Уход за одеждой"/>
    <s v="Машинка для удаления катышков"/>
    <m/>
    <x v="1"/>
    <x v="0"/>
    <s v="да"/>
    <n v="2"/>
    <n v="0"/>
    <n v="2"/>
    <n v="2"/>
    <n v="0"/>
    <n v="2"/>
    <n v="0"/>
    <n v="0"/>
    <n v="0"/>
    <n v="1"/>
    <n v="701"/>
    <n v="2"/>
    <n v="2.2656935905630897E-6"/>
    <n v="3.6220597929630623E-6"/>
  </r>
  <r>
    <s v="FOODZOO"/>
    <x v="2"/>
    <s v="Бытовая химия"/>
    <s v="Средства для уборки"/>
    <s v="Уход за коврами и мебелью"/>
    <s v="Чистка ковров и обивки мебели"/>
    <m/>
    <x v="1"/>
    <x v="0"/>
    <s v="нет"/>
    <n v="0"/>
    <n v="0"/>
    <n v="0"/>
    <n v="0"/>
    <n v="0"/>
    <n v="0"/>
    <n v="0"/>
    <n v="0"/>
    <n v="0"/>
    <n v="1"/>
    <n v="684"/>
    <n v="2"/>
    <n v="2.2107480969260394E-6"/>
    <n v="3.6220597929630623E-6"/>
  </r>
  <r>
    <s v="FOODZOO"/>
    <x v="2"/>
    <s v="Детская гигиена и уход"/>
    <s v="Уход за детьми"/>
    <s v="Бальзамы для губ детские"/>
    <s v="Бальзамы для губ детские"/>
    <m/>
    <x v="1"/>
    <x v="0"/>
    <s v="да"/>
    <n v="0"/>
    <n v="0"/>
    <n v="0"/>
    <n v="0"/>
    <n v="0"/>
    <n v="0"/>
    <n v="0"/>
    <n v="0"/>
    <n v="0"/>
    <n v="2"/>
    <n v="668"/>
    <n v="2"/>
    <n v="2.1590346911499915E-6"/>
    <n v="3.6220597929630623E-6"/>
  </r>
  <r>
    <s v="HOUSEHOLD"/>
    <x v="4"/>
    <s v="Товары для дома"/>
    <s v="Текстиль для ванной"/>
    <s v="Полотенце"/>
    <s v="Полотенце 70х140"/>
    <m/>
    <x v="1"/>
    <x v="0"/>
    <s v="да"/>
    <n v="3"/>
    <n v="0"/>
    <n v="3"/>
    <n v="8"/>
    <n v="0"/>
    <n v="8"/>
    <n v="5"/>
    <n v="0"/>
    <n v="5"/>
    <n v="1"/>
    <n v="623"/>
    <n v="1"/>
    <n v="2.0135907374048574E-6"/>
    <n v="1.8110298964815312E-6"/>
  </r>
  <r>
    <s v="FOODZOO"/>
    <x v="2"/>
    <s v="Гигиена"/>
    <s v="Дезодоранты"/>
    <s v="Дезодоранты мужские"/>
    <s v="Дезодоранты мужские спреи"/>
    <m/>
    <x v="1"/>
    <x v="0"/>
    <s v="да"/>
    <n v="0"/>
    <n v="0"/>
    <n v="0"/>
    <n v="0"/>
    <n v="0"/>
    <n v="0"/>
    <n v="0"/>
    <n v="0"/>
    <n v="0"/>
    <n v="2"/>
    <n v="616.98"/>
    <n v="2"/>
    <n v="1.9941335684816194E-6"/>
    <n v="3.6220597929630623E-6"/>
  </r>
  <r>
    <s v="HOUSEHOLD"/>
    <x v="4"/>
    <s v="Товары для дома"/>
    <s v="Товары для ванной комнаты"/>
    <s v="Полки, держатели, органайзеры"/>
    <s v="Органайзер для ванной"/>
    <m/>
    <x v="1"/>
    <x v="0"/>
    <s v="нет"/>
    <n v="0"/>
    <n v="0"/>
    <n v="0"/>
    <n v="0"/>
    <n v="0"/>
    <n v="0"/>
    <n v="0"/>
    <n v="0"/>
    <n v="0"/>
    <n v="1"/>
    <n v="609"/>
    <n v="1"/>
    <n v="1.9683415073508158E-6"/>
    <n v="1.8110298964815312E-6"/>
  </r>
  <r>
    <s v="DIY"/>
    <x v="4"/>
    <s v="Праздничные и сезонные товары"/>
    <s v="Товары для летнего отдыха"/>
    <s v="Барбекю, грили, коптильни, аксессуары"/>
    <s v="Шампуры"/>
    <m/>
    <x v="1"/>
    <x v="1"/>
    <s v="да"/>
    <n v="0"/>
    <n v="0"/>
    <n v="0"/>
    <n v="0"/>
    <n v="0"/>
    <n v="0"/>
    <n v="0"/>
    <n v="0"/>
    <n v="0"/>
    <n v="1"/>
    <n v="521"/>
    <n v="7"/>
    <n v="1.6839177755825534E-6"/>
    <n v="1.2677209275370719E-5"/>
  </r>
  <r>
    <s v="FOODZOO"/>
    <x v="2"/>
    <s v="Продукция для животных"/>
    <s v="Наполнители и уход"/>
    <s v="Туалеты и пеленки"/>
    <s v="Пеленки и салфетки"/>
    <m/>
    <x v="1"/>
    <x v="0"/>
    <s v="да"/>
    <n v="0"/>
    <n v="0"/>
    <n v="0"/>
    <n v="0"/>
    <n v="0"/>
    <n v="0"/>
    <n v="0"/>
    <n v="0"/>
    <n v="0"/>
    <n v="2"/>
    <n v="393.46"/>
    <n v="11"/>
    <n v="1.2716972897902329E-6"/>
    <n v="1.9921328861296842E-5"/>
  </r>
  <r>
    <s v="FOODZOO"/>
    <x v="2"/>
    <s v="Гигиена"/>
    <s v="Дезодоранты"/>
    <s v="Дезодоранты мужские"/>
    <s v="Дезодоранты мужские ролики"/>
    <m/>
    <x v="1"/>
    <x v="0"/>
    <s v="да"/>
    <n v="0"/>
    <n v="0"/>
    <n v="0"/>
    <n v="0"/>
    <n v="0"/>
    <n v="0"/>
    <n v="0"/>
    <n v="0"/>
    <n v="0"/>
    <n v="2"/>
    <n v="381"/>
    <n v="2"/>
    <n v="1.2314254750421358E-6"/>
    <n v="3.6220597929630623E-6"/>
  </r>
  <r>
    <s v="DIY"/>
    <x v="4"/>
    <s v="Мебель"/>
    <s v="Зеркала"/>
    <s v="Зеркала интерьерные"/>
    <s v="Настольные и косметические зеркала"/>
    <m/>
    <x v="1"/>
    <x v="0"/>
    <s v="нет"/>
    <n v="0"/>
    <n v="0"/>
    <n v="0"/>
    <n v="0"/>
    <n v="0"/>
    <n v="0"/>
    <n v="0"/>
    <n v="0"/>
    <n v="0"/>
    <n v="2"/>
    <n v="365"/>
    <n v="1"/>
    <n v="1.1797120692660882E-6"/>
    <n v="1.8110298964815312E-6"/>
  </r>
  <r>
    <s v="DIY"/>
    <x v="4"/>
    <s v="Праздничные и сезонные товары"/>
    <s v="Товары для летнего отдыха"/>
    <s v="Баня и сауна"/>
    <s v="Массажер для бани"/>
    <m/>
    <x v="1"/>
    <x v="2"/>
    <s v="да"/>
    <n v="0"/>
    <n v="0"/>
    <n v="0"/>
    <n v="0"/>
    <n v="0"/>
    <n v="0"/>
    <n v="0"/>
    <n v="0"/>
    <n v="0"/>
    <n v="1"/>
    <n v="356"/>
    <n v="1"/>
    <n v="1.1506232785170613E-6"/>
    <n v="1.8110298964815312E-6"/>
  </r>
  <r>
    <s v="HOUSEHOLD"/>
    <x v="4"/>
    <s v="Товары для дома"/>
    <s v="Приготовление пищи"/>
    <s v="Крышки и ручки для посуды"/>
    <s v="Крышка для СВЧ"/>
    <m/>
    <x v="1"/>
    <x v="0"/>
    <s v="нет"/>
    <n v="1"/>
    <n v="0"/>
    <n v="1"/>
    <n v="1"/>
    <n v="0"/>
    <n v="1"/>
    <n v="0"/>
    <n v="0"/>
    <n v="0"/>
    <n v="1"/>
    <n v="353.51"/>
    <n v="10"/>
    <n v="1.1425753797431639E-6"/>
    <n v="1.8110298964815311E-5"/>
  </r>
  <r>
    <s v="FOODZOO"/>
    <x v="2"/>
    <s v="Гигиена"/>
    <s v="Мыло туалетное"/>
    <s v="Мыло кусковое"/>
    <s v="Кусковое основное"/>
    <m/>
    <x v="1"/>
    <x v="0"/>
    <s v="да"/>
    <n v="0"/>
    <n v="0"/>
    <n v="0"/>
    <n v="0"/>
    <n v="0"/>
    <n v="0"/>
    <n v="0"/>
    <n v="0"/>
    <n v="0"/>
    <n v="3"/>
    <n v="341.47"/>
    <n v="4"/>
    <n v="1.1036610418966881E-6"/>
    <n v="7.2441195859261247E-6"/>
  </r>
  <r>
    <s v="FOODZOO"/>
    <x v="2"/>
    <s v="Гигиена"/>
    <s v="Бумажная продукция"/>
    <s v="Бумажные салфетки и платки"/>
    <s v="Бумажные носовые платки"/>
    <m/>
    <x v="1"/>
    <x v="0"/>
    <s v="да"/>
    <n v="2"/>
    <n v="0"/>
    <n v="2"/>
    <n v="2"/>
    <n v="0"/>
    <n v="2"/>
    <n v="0"/>
    <n v="0"/>
    <n v="0"/>
    <n v="2"/>
    <n v="312"/>
    <n v="2"/>
    <n v="1.0084114126329302E-6"/>
    <n v="3.6220597929630623E-6"/>
  </r>
  <r>
    <s v="DIY"/>
    <x v="4"/>
    <s v="Праздничные и сезонные товары"/>
    <s v="Товары для летнего отдыха"/>
    <s v="Средства для розжига, уголь, дрова"/>
    <s v="Веер для раздува"/>
    <m/>
    <x v="1"/>
    <x v="1"/>
    <s v="да"/>
    <n v="0"/>
    <n v="0"/>
    <n v="0"/>
    <n v="0"/>
    <n v="0"/>
    <n v="0"/>
    <n v="0"/>
    <n v="0"/>
    <n v="0"/>
    <n v="1"/>
    <n v="272.64999999999998"/>
    <n v="3"/>
    <n v="8.8122875530246281E-7"/>
    <n v="5.4330896894445931E-6"/>
  </r>
  <r>
    <s v="FOODZOO"/>
    <x v="2"/>
    <s v="Продукция для животных"/>
    <s v="Корма и лакомства для кошек"/>
    <s v="Влажные корма для кошек и котят"/>
    <s v="Влажные специализированные корма для кошек"/>
    <m/>
    <x v="1"/>
    <x v="0"/>
    <s v="да"/>
    <n v="0"/>
    <n v="0"/>
    <n v="0"/>
    <n v="0"/>
    <n v="0"/>
    <n v="0"/>
    <n v="0"/>
    <n v="0"/>
    <n v="0"/>
    <n v="2"/>
    <n v="259"/>
    <n v="3"/>
    <n v="8.371107559997722E-7"/>
    <n v="5.4330896894445931E-6"/>
  </r>
  <r>
    <s v="HOUSEHOLD"/>
    <x v="4"/>
    <s v="Праздничные и сезонные товары"/>
    <s v="Новогодние товары"/>
    <s v="Новогодние украшения для дома"/>
    <s v="Подсвечник новогодний"/>
    <m/>
    <x v="1"/>
    <x v="2"/>
    <s v="да"/>
    <n v="0"/>
    <n v="0"/>
    <n v="0"/>
    <n v="0"/>
    <n v="0"/>
    <n v="0"/>
    <n v="0"/>
    <n v="0"/>
    <n v="0"/>
    <n v="1"/>
    <n v="257.43"/>
    <n v="7"/>
    <n v="8.3203637805799748E-7"/>
    <n v="1.2677209275370719E-5"/>
  </r>
  <r>
    <s v="DIY"/>
    <x v="4"/>
    <s v="Праздничные и сезонные товары"/>
    <s v="Обустройство дачи и сада"/>
    <s v="Цветочные кашпо и горшки для сада"/>
    <s v="Аксессуар для цветочных горшков"/>
    <m/>
    <x v="1"/>
    <x v="1"/>
    <s v="да"/>
    <n v="0"/>
    <n v="0"/>
    <n v="0"/>
    <n v="0"/>
    <n v="0"/>
    <n v="0"/>
    <n v="0"/>
    <n v="0"/>
    <n v="0"/>
    <n v="1"/>
    <n v="228"/>
    <n v="6"/>
    <n v="7.3691603230867979E-7"/>
    <n v="1.0866179378889186E-5"/>
  </r>
  <r>
    <s v="TOYS"/>
    <x v="4"/>
    <s v="Праздничные и сезонные товары"/>
    <s v="Новогодние товары"/>
    <s v="Карнавальные принадлежности"/>
    <s v="Карнавальные принадлежности"/>
    <m/>
    <x v="1"/>
    <x v="2"/>
    <s v="да"/>
    <n v="0"/>
    <n v="0"/>
    <n v="0"/>
    <n v="0"/>
    <n v="0"/>
    <n v="0"/>
    <n v="0"/>
    <n v="0"/>
    <n v="0"/>
    <n v="2"/>
    <n v="198.79000000000002"/>
    <n v="10"/>
    <n v="6.4250674588878267E-7"/>
    <n v="1.8110298964815311E-5"/>
  </r>
  <r>
    <s v="HOUSEHOLD"/>
    <x v="4"/>
    <s v="Праздничные и сезонные товары"/>
    <s v="Новогодние товары"/>
    <s v="Новогодние аксессуары"/>
    <s v="Новогодние аксессуары"/>
    <m/>
    <x v="1"/>
    <x v="2"/>
    <s v="да"/>
    <n v="0"/>
    <n v="0"/>
    <n v="0"/>
    <n v="0"/>
    <n v="0"/>
    <n v="0"/>
    <n v="0"/>
    <n v="0"/>
    <n v="0"/>
    <n v="2"/>
    <n v="190"/>
    <n v="7"/>
    <n v="6.1409669359056645E-7"/>
    <n v="1.2677209275370719E-5"/>
  </r>
  <r>
    <s v="HOUSEHOLD"/>
    <x v="4"/>
    <s v="Праздничные и сезонные товары"/>
    <s v="Новогодние товары"/>
    <s v="Гирлянды, мишура"/>
    <s v="Гирлянды, мишура"/>
    <m/>
    <x v="1"/>
    <x v="2"/>
    <s v="да"/>
    <n v="0"/>
    <n v="0"/>
    <n v="0"/>
    <n v="0"/>
    <n v="0"/>
    <n v="0"/>
    <n v="0"/>
    <n v="0"/>
    <n v="0"/>
    <n v="1"/>
    <n v="175.46"/>
    <n v="1"/>
    <n v="5.6710213609158317E-7"/>
    <n v="1.8110298964815312E-6"/>
  </r>
  <r>
    <s v="FOODZOO"/>
    <x v="2"/>
    <s v="Продукция для животных"/>
    <s v="Корма и лакомства для собак"/>
    <s v="Влажные корма для собак"/>
    <s v="Влажные корма для щенков"/>
    <m/>
    <x v="1"/>
    <x v="0"/>
    <s v="да"/>
    <n v="0"/>
    <n v="0"/>
    <n v="0"/>
    <n v="0"/>
    <n v="0"/>
    <n v="0"/>
    <n v="0"/>
    <n v="0"/>
    <n v="0"/>
    <n v="1"/>
    <n v="167"/>
    <n v="1"/>
    <n v="5.3975867278749787E-7"/>
    <n v="1.8110298964815312E-6"/>
  </r>
  <r>
    <s v="HOUSEHOLD"/>
    <x v="4"/>
    <s v="Праздничные и сезонные товары"/>
    <s v="Новогодние товары"/>
    <s v="Елочные украшения"/>
    <s v="Шар на ель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Крышки"/>
    <m/>
    <x v="1"/>
    <x v="0"/>
    <s v="нет"/>
    <n v="0"/>
    <n v="0"/>
    <n v="0"/>
    <n v="4"/>
    <n v="0"/>
    <n v="4"/>
    <n v="4"/>
    <n v="0"/>
    <n v="4"/>
    <n v="0"/>
    <n v="0"/>
    <n v="0"/>
    <n v="0"/>
    <n v="0"/>
  </r>
  <r>
    <s v="DIY"/>
    <x v="2"/>
    <s v="Специальное питание"/>
    <s v="Спортивное питание"/>
    <s v="Готовое спортивное питание"/>
    <s v="Батончики для спортивного питания"/>
    <m/>
    <x v="1"/>
    <x v="0"/>
    <s v="да"/>
    <n v="23"/>
    <n v="0"/>
    <n v="23"/>
    <n v="25"/>
    <n v="0"/>
    <n v="25"/>
    <n v="2"/>
    <n v="0"/>
    <n v="2"/>
    <n v="0"/>
    <n v="0"/>
    <n v="0"/>
    <n v="0"/>
    <n v="0"/>
  </r>
  <r>
    <s v="HOUSEHOLD"/>
    <x v="4"/>
    <s v="Товары для дома"/>
    <s v="Посуда и кухонные принадлежности"/>
    <s v="Одноразовая посуда"/>
    <s v="Тарелки одноразовые"/>
    <m/>
    <x v="1"/>
    <x v="0"/>
    <s v="да"/>
    <n v="0"/>
    <n v="0"/>
    <n v="0"/>
    <n v="2"/>
    <n v="0"/>
    <n v="2"/>
    <n v="2"/>
    <n v="0"/>
    <n v="2"/>
    <n v="0"/>
    <n v="0"/>
    <n v="0"/>
    <n v="0"/>
    <n v="0"/>
  </r>
  <r>
    <s v="HOUSEHOLD"/>
    <x v="4"/>
    <s v="Праздничные и сезонные товары"/>
    <s v="Новогодние товары"/>
    <s v="Хвойные украшения"/>
    <s v="Хвойные гирлянды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веча светодиодная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Верхушка для ели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и"/>
    <m/>
    <x v="1"/>
    <x v="1"/>
    <s v="нет"/>
    <n v="0"/>
    <n v="0"/>
    <n v="0"/>
    <n v="2"/>
    <n v="0"/>
    <n v="2"/>
    <n v="2"/>
    <n v="0"/>
    <n v="2"/>
    <n v="0"/>
    <n v="0"/>
    <n v="0"/>
    <n v="0"/>
    <n v="0"/>
  </r>
  <r>
    <s v="HOUSEHOLD"/>
    <x v="4"/>
    <s v="Праздничные и сезонные товары"/>
    <s v="Новогодние товары"/>
    <s v="Новогодние ели"/>
    <s v="Декоративная елочка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Сервировка стола"/>
    <s v="Питьевое стекло"/>
    <s v="Рюмки и стопки"/>
    <m/>
    <x v="1"/>
    <x v="0"/>
    <s v="да"/>
    <n v="0"/>
    <n v="0"/>
    <n v="0"/>
    <n v="2"/>
    <n v="0"/>
    <n v="2"/>
    <n v="2"/>
    <n v="0"/>
    <n v="2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Наборы для создания кукол"/>
    <m/>
    <x v="0"/>
    <x v="0"/>
    <s v="да"/>
    <n v="1"/>
    <n v="0"/>
    <n v="1"/>
    <n v="0"/>
    <n v="0"/>
    <n v="0"/>
    <n v="-1"/>
    <n v="0"/>
    <n v="-1"/>
    <n v="21"/>
    <n v="25024.649999999998"/>
    <n v="104"/>
    <n v="8.0881867490848253E-5"/>
    <n v="1.8834710923407922E-4"/>
  </r>
  <r>
    <s v="HOBBIES&amp;SCHOOL"/>
    <x v="1"/>
    <s v="Книги, хобби, канцелярия"/>
    <s v="Хобби"/>
    <s v="Поделки и рукоделие"/>
    <s v="Свечи и мыловарение"/>
    <m/>
    <x v="0"/>
    <x v="0"/>
    <s v="да"/>
    <n v="2"/>
    <n v="0"/>
    <n v="2"/>
    <n v="1"/>
    <n v="0"/>
    <n v="1"/>
    <n v="-1"/>
    <n v="0"/>
    <n v="-1"/>
    <n v="17"/>
    <n v="17495.230000000003"/>
    <n v="63"/>
    <n v="5.6546120508455201E-5"/>
    <n v="1.1409488347833646E-4"/>
  </r>
  <r>
    <s v="HOBBIES&amp;SCHOOL"/>
    <x v="1"/>
    <s v="Книги, хобби, канцелярия"/>
    <s v="Хобби"/>
    <s v="Товары для рисования"/>
    <s v="Лаки художественные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Масляные краски"/>
    <m/>
    <x v="0"/>
    <x v="0"/>
    <s v="да"/>
    <n v="3"/>
    <n v="0"/>
    <n v="3"/>
    <n v="2"/>
    <n v="0"/>
    <n v="2"/>
    <n v="-1"/>
    <n v="0"/>
    <n v="-1"/>
    <n v="2"/>
    <n v="1668"/>
    <n v="2"/>
    <n v="5.3911225521529729E-6"/>
    <n v="3.6220597929630623E-6"/>
  </r>
  <r>
    <s v="HOBBIES&amp;SCHOOL"/>
    <x v="1"/>
    <s v="Книги, хобби, канцелярия"/>
    <s v="Книги"/>
    <s v="Искусство, мода, дизайн"/>
    <s v="Искусство, мода, дизайн"/>
    <m/>
    <x v="0"/>
    <x v="0"/>
    <s v="да"/>
    <n v="1"/>
    <n v="0"/>
    <n v="1"/>
    <n v="0"/>
    <n v="0"/>
    <n v="0"/>
    <n v="-1"/>
    <n v="0"/>
    <n v="-1"/>
    <n v="8"/>
    <n v="29574"/>
    <n v="24"/>
    <n v="9.5585766401302163E-5"/>
    <n v="4.3464717515556745E-5"/>
  </r>
  <r>
    <s v="HOBBIES&amp;SCHOOL"/>
    <x v="1"/>
    <s v="Книги, хобби, канцелярия"/>
    <s v="Книги"/>
    <s v="Книги для ВУЗов"/>
    <s v="Естественные науки"/>
    <m/>
    <x v="0"/>
    <x v="0"/>
    <s v="да"/>
    <n v="1"/>
    <n v="0"/>
    <n v="1"/>
    <n v="0"/>
    <n v="0"/>
    <n v="0"/>
    <n v="-1"/>
    <n v="0"/>
    <n v="-1"/>
    <n v="2"/>
    <n v="2803.19"/>
    <n v="5"/>
    <n v="9.0601563710849476E-6"/>
    <n v="9.0551494824076554E-6"/>
  </r>
  <r>
    <s v="HOBBIES&amp;SCHOOL"/>
    <x v="1"/>
    <s v="Книги, хобби, канцелярия"/>
    <s v="Книги"/>
    <s v="Книги для детей и родителей"/>
    <s v="Книги для родителей"/>
    <m/>
    <x v="0"/>
    <x v="0"/>
    <s v="да"/>
    <n v="1"/>
    <n v="0"/>
    <n v="1"/>
    <n v="0"/>
    <n v="0"/>
    <n v="0"/>
    <n v="-1"/>
    <n v="0"/>
    <n v="-1"/>
    <n v="10"/>
    <n v="12649.01"/>
    <n v="33"/>
    <n v="4.0882711674705318E-5"/>
    <n v="5.9763986583890528E-5"/>
  </r>
  <r>
    <s v="HOBBIES&amp;SCHOOL"/>
    <x v="1"/>
    <s v="Книги, хобби, канцелярия"/>
    <s v="Книги"/>
    <s v="Книги для ДОУ"/>
    <s v="Книги для ДОУ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HOBBIES&amp;SCHOOL"/>
    <x v="1"/>
    <s v="Книги, хобби, канцелярия"/>
    <s v="Книги"/>
    <s v="Учебная литература"/>
    <s v="Хрестоматия"/>
    <m/>
    <x v="0"/>
    <x v="1"/>
    <s v="да"/>
    <n v="1"/>
    <n v="0"/>
    <n v="1"/>
    <n v="0"/>
    <n v="0"/>
    <n v="0"/>
    <n v="-1"/>
    <n v="0"/>
    <n v="-1"/>
    <n v="5"/>
    <n v="4002"/>
    <n v="10"/>
    <n v="1.2934815619733931E-5"/>
    <n v="1.8110298964815311E-5"/>
  </r>
  <r>
    <s v="HOBBIES&amp;SCHOOL"/>
    <x v="1"/>
    <s v="Книги, хобби, канцелярия"/>
    <s v="Книги"/>
    <s v="Учебная литература"/>
    <s v="Школьные учебники"/>
    <m/>
    <x v="0"/>
    <x v="1"/>
    <s v="да"/>
    <n v="1"/>
    <n v="0"/>
    <n v="1"/>
    <n v="0"/>
    <n v="0"/>
    <n v="0"/>
    <n v="-1"/>
    <n v="0"/>
    <n v="-1"/>
    <n v="0"/>
    <n v="0"/>
    <n v="0"/>
    <n v="0"/>
    <n v="0"/>
  </r>
  <r>
    <s v="HOBBIES&amp;SCHOOL"/>
    <x v="1"/>
    <s v="Книги, хобби, канцелярия"/>
    <s v="Книги"/>
    <s v="Эзотерика и парапсихология, таро"/>
    <s v="Эзотерика и парапсихология"/>
    <m/>
    <x v="0"/>
    <x v="0"/>
    <s v="да"/>
    <n v="1"/>
    <n v="0"/>
    <n v="1"/>
    <n v="0"/>
    <n v="0"/>
    <n v="0"/>
    <n v="-1"/>
    <n v="0"/>
    <n v="-1"/>
    <n v="12"/>
    <n v="31388.6"/>
    <n v="60"/>
    <n v="1.0145071303387817E-4"/>
    <n v="1.0866179378889187E-4"/>
  </r>
  <r>
    <s v="HOBBIES&amp;SCHOOL"/>
    <x v="1"/>
    <s v="Книги, хобби, канцелярия"/>
    <s v="Канцелярия"/>
    <s v="Организация рабочего места"/>
    <s v="Лотки для бумаг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HOBBIES&amp;SCHOOL"/>
    <x v="1"/>
    <s v="Книги, хобби, канцелярия"/>
    <s v="Канцелярия"/>
    <s v="Организация рабочего места"/>
    <s v="Подставки для книг"/>
    <m/>
    <x v="0"/>
    <x v="0"/>
    <s v="да"/>
    <n v="2"/>
    <n v="0"/>
    <n v="2"/>
    <n v="1"/>
    <n v="0"/>
    <n v="1"/>
    <n v="-1"/>
    <n v="0"/>
    <n v="-1"/>
    <n v="3"/>
    <n v="11056.08"/>
    <n v="24"/>
    <n v="3.5734221958277841E-5"/>
    <n v="4.3464717515556745E-5"/>
  </r>
  <r>
    <s v="HOUSEHOLD"/>
    <x v="4"/>
    <s v="Праздничные и сезонные товары"/>
    <s v="Новогодние товары"/>
    <s v="Новогоднее освещение"/>
    <s v="Светильник новогодний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Товары для ванной комнаты"/>
    <s v="Аксессуары для ванной комнаты"/>
    <s v="Держатель для полотенец"/>
    <m/>
    <x v="1"/>
    <x v="0"/>
    <s v="нет"/>
    <n v="0"/>
    <n v="0"/>
    <n v="0"/>
    <n v="1"/>
    <n v="0"/>
    <n v="1"/>
    <n v="1"/>
    <n v="0"/>
    <n v="1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Спрей, серпантин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Гигиена"/>
    <s v="Урология"/>
    <s v="Впитывающие простыни"/>
    <s v="Впитывающие простыни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Веники, щетки и совки"/>
    <s v="Щетка для уборки"/>
    <m/>
    <x v="0"/>
    <x v="0"/>
    <s v="да"/>
    <n v="1"/>
    <n v="5"/>
    <n v="6"/>
    <n v="0"/>
    <n v="5"/>
    <n v="5"/>
    <n v="-1"/>
    <n v="0"/>
    <n v="-1"/>
    <n v="16"/>
    <n v="26970.339999999997"/>
    <n v="135"/>
    <n v="8.717050852112314E-5"/>
    <n v="2.4448903602500668E-4"/>
  </r>
  <r>
    <s v="DIY"/>
    <x v="2"/>
    <s v="Специальное питание"/>
    <s v="Спортивное питание"/>
    <s v="Протеины, гейнеры, креатины"/>
    <s v="Гейнеры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DIY"/>
    <x v="2"/>
    <s v="Специальное питание"/>
    <s v="Спортивное питание"/>
    <s v="Спортивные напитки и энергетики"/>
    <s v="Спортивные углеводные гели, энергетики, изотоники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одеяла"/>
    <s v="Одеяло евро"/>
    <m/>
    <x v="1"/>
    <x v="0"/>
    <s v="да"/>
    <n v="3"/>
    <n v="0"/>
    <n v="3"/>
    <n v="3"/>
    <n v="0"/>
    <n v="3"/>
    <n v="0"/>
    <n v="0"/>
    <n v="0"/>
    <n v="0"/>
    <n v="0"/>
    <n v="0"/>
    <n v="0"/>
    <n v="0"/>
  </r>
  <r>
    <s v="HOUSEHOLD"/>
    <x v="4"/>
    <s v="Праздничные и сезонные товары"/>
    <s v="Семена, удобрения и уход за растениями"/>
    <s v="Теплицы и парники"/>
    <s v="Автоматический открыватель для теплиц"/>
    <m/>
    <x v="1"/>
    <x v="1"/>
    <s v="да"/>
    <n v="1"/>
    <n v="0"/>
    <n v="1"/>
    <n v="1"/>
    <n v="0"/>
    <n v="1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Бассейны и аксессуары"/>
    <s v="Аксессуары для насосов"/>
    <m/>
    <x v="1"/>
    <x v="2"/>
    <s v="нет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приготовления алкоголя"/>
    <s v="Самогонный аппарат и комплектующие"/>
    <m/>
    <x v="1"/>
    <x v="2"/>
    <s v="нет"/>
    <n v="0"/>
    <n v="0"/>
    <n v="0"/>
    <n v="0"/>
    <n v="0"/>
    <n v="0"/>
    <n v="0"/>
    <n v="0"/>
    <n v="0"/>
    <n v="0"/>
    <n v="0"/>
    <n v="0"/>
    <n v="0"/>
    <n v="0"/>
  </r>
  <r>
    <s v="TOYS"/>
    <x v="5"/>
    <s v="Бытовая техника и Электроника"/>
    <s v="Малая бытовая техника"/>
    <s v="Техника для красоты и здоровья"/>
    <s v="Весы для новорожденных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Часы и аксессуары"/>
    <s v="Часы и аксессуары"/>
    <s v="Женские часы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Одежда"/>
    <s v="Бельё"/>
    <s v="Белье для мужчин"/>
    <s v="Трусы для мужчин"/>
    <m/>
    <x v="0"/>
    <x v="1"/>
    <s v="да"/>
    <n v="1"/>
    <n v="0"/>
    <n v="1"/>
    <n v="0"/>
    <n v="0"/>
    <n v="0"/>
    <n v="-1"/>
    <n v="0"/>
    <n v="-1"/>
    <n v="52"/>
    <n v="105135.74000000002"/>
    <n v="115"/>
    <n v="3.3980794901156564E-4"/>
    <n v="2.0826843809537609E-4"/>
  </r>
  <r>
    <s v="TOYS"/>
    <x v="3"/>
    <s v="Одежда"/>
    <s v="Основная одежда"/>
    <s v="Основная одежда для женщин"/>
    <s v="Платье, сарафан"/>
    <m/>
    <x v="0"/>
    <x v="1"/>
    <s v="да"/>
    <n v="1"/>
    <n v="0"/>
    <n v="1"/>
    <n v="0"/>
    <n v="0"/>
    <n v="0"/>
    <n v="-1"/>
    <n v="0"/>
    <n v="-1"/>
    <n v="796"/>
    <n v="1008450.7800000003"/>
    <n v="909"/>
    <n v="3.259401524456989E-3"/>
    <n v="1.6462261759017118E-3"/>
  </r>
  <r>
    <s v="TOYS"/>
    <x v="1"/>
    <s v="Детские товары"/>
    <s v="Игры и игрушки"/>
    <s v="Игрушки для всех"/>
    <s v="Железные дороги"/>
    <m/>
    <x v="0"/>
    <x v="1"/>
    <s v="да"/>
    <n v="1"/>
    <n v="0"/>
    <n v="1"/>
    <n v="0"/>
    <n v="0"/>
    <n v="0"/>
    <n v="-1"/>
    <n v="0"/>
    <n v="-1"/>
    <n v="6"/>
    <n v="50021.94"/>
    <n v="35"/>
    <n v="1.6167530505781949E-4"/>
    <n v="6.338604637685359E-5"/>
  </r>
  <r>
    <s v="TOYS"/>
    <x v="1"/>
    <s v="Детские товары"/>
    <s v="Игры и игрушки"/>
    <s v="Игрушки для малышей"/>
    <s v="Качалки, каталки"/>
    <m/>
    <x v="0"/>
    <x v="1"/>
    <s v="да"/>
    <n v="1"/>
    <n v="0"/>
    <n v="1"/>
    <n v="0"/>
    <n v="0"/>
    <n v="0"/>
    <n v="-1"/>
    <n v="0"/>
    <n v="-1"/>
    <n v="9"/>
    <n v="73438.030000000013"/>
    <n v="168"/>
    <n v="2.3735816529897282E-4"/>
    <n v="3.0425302260889722E-4"/>
  </r>
  <r>
    <s v="TOYS"/>
    <x v="1"/>
    <s v="Детские товары"/>
    <s v="Детская комната"/>
    <s v="Мебель для детской комнаты"/>
    <s v="Качели, шезлонги, ходунки"/>
    <m/>
    <x v="0"/>
    <x v="0"/>
    <s v="да"/>
    <n v="1"/>
    <n v="0"/>
    <n v="1"/>
    <n v="0"/>
    <n v="0"/>
    <n v="0"/>
    <n v="-1"/>
    <n v="0"/>
    <n v="-1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Стульчики для кормления"/>
    <m/>
    <x v="0"/>
    <x v="0"/>
    <s v="да"/>
    <n v="1"/>
    <n v="0"/>
    <n v="1"/>
    <n v="0"/>
    <n v="0"/>
    <n v="0"/>
    <n v="-1"/>
    <n v="0"/>
    <n v="-1"/>
    <n v="4"/>
    <n v="11832"/>
    <n v="14"/>
    <n v="3.8242063571387274E-5"/>
    <n v="2.5354418550741437E-5"/>
  </r>
  <r>
    <s v="TOYS"/>
    <x v="2"/>
    <s v="Бытовая химия"/>
    <s v="Уход за одеждой и обувью"/>
    <s v="Уход за обувью"/>
    <s v="Губки для обуви"/>
    <m/>
    <x v="1"/>
    <x v="1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Аксессуары для путешествий"/>
    <s v="Прочие аксессуары для путешествий"/>
    <s v="Прочие аксессуары для путешествий и поездок"/>
    <m/>
    <x v="0"/>
    <x v="1"/>
    <s v="да"/>
    <n v="2"/>
    <n v="0"/>
    <n v="2"/>
    <n v="1"/>
    <n v="0"/>
    <n v="1"/>
    <n v="-1"/>
    <n v="0"/>
    <n v="-1"/>
    <n v="6"/>
    <n v="8179.86"/>
    <n v="41"/>
    <n v="2.6438026210703845E-5"/>
    <n v="7.4252225755742774E-5"/>
  </r>
  <r>
    <s v="TOYS"/>
    <x v="3"/>
    <s v="Аксессуары"/>
    <s v="Аксессуары для путешествий"/>
    <s v="Чемоданы и дорожные сумки"/>
    <s v="Сумка дорожная для путешествий"/>
    <m/>
    <x v="0"/>
    <x v="1"/>
    <s v="да"/>
    <n v="1"/>
    <n v="0"/>
    <n v="1"/>
    <n v="0"/>
    <n v="0"/>
    <n v="0"/>
    <n v="-1"/>
    <n v="0"/>
    <n v="-1"/>
    <n v="26"/>
    <n v="228932.19999999998"/>
    <n v="184"/>
    <n v="7.3992898461270663E-4"/>
    <n v="3.3322950095260171E-4"/>
  </r>
  <r>
    <s v="TOYS"/>
    <x v="3"/>
    <s v="Аксессуары"/>
    <s v="Ремни и пояса"/>
    <s v="Ремни и пояса для женщин"/>
    <s v="Ремни женские"/>
    <m/>
    <x v="0"/>
    <x v="1"/>
    <s v="да"/>
    <n v="1"/>
    <n v="0"/>
    <n v="1"/>
    <n v="0"/>
    <n v="0"/>
    <n v="0"/>
    <n v="-1"/>
    <n v="0"/>
    <n v="-1"/>
    <n v="44"/>
    <n v="115253.13999999996"/>
    <n v="79"/>
    <n v="3.7250827473647702E-4"/>
    <n v="1.4307136182204096E-4"/>
  </r>
  <r>
    <s v="FOODZOO"/>
    <x v="2"/>
    <s v="Гигиена"/>
    <s v="Влажные салфетки"/>
    <s v="Влажные салфетки для экранов и оптики"/>
    <s v="Влажные салфетки для оптики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Средства для купания детей"/>
    <s v="Соль для ванн детская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Швабры и насадки"/>
    <s v="Наборы ведер со швабрами"/>
    <m/>
    <x v="0"/>
    <x v="3"/>
    <s v="да"/>
    <n v="1"/>
    <n v="0"/>
    <n v="1"/>
    <n v="0"/>
    <n v="0"/>
    <n v="0"/>
    <n v="-1"/>
    <n v="0"/>
    <n v="-1"/>
    <n v="32"/>
    <n v="803429.10999999975"/>
    <n v="461"/>
    <n v="2.5967534736074283E-3"/>
    <n v="8.3488478227798581E-4"/>
  </r>
  <r>
    <s v="HOUSEHOLD"/>
    <x v="4"/>
    <s v="Товары для дома"/>
    <s v="Текстиль для спальни"/>
    <s v="Постельное белье"/>
    <s v="Пододеяльник евро"/>
    <m/>
    <x v="0"/>
    <x v="3"/>
    <s v="да"/>
    <n v="1"/>
    <n v="0"/>
    <n v="1"/>
    <n v="0"/>
    <n v="0"/>
    <n v="0"/>
    <n v="-1"/>
    <n v="0"/>
    <n v="-1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Простыня 1 сп"/>
    <m/>
    <x v="0"/>
    <x v="3"/>
    <s v="да"/>
    <n v="1"/>
    <n v="0"/>
    <n v="1"/>
    <n v="0"/>
    <n v="0"/>
    <n v="0"/>
    <n v="-1"/>
    <n v="0"/>
    <n v="-1"/>
    <n v="0"/>
    <n v="0"/>
    <n v="0"/>
    <n v="0"/>
    <n v="0"/>
  </r>
  <r>
    <s v="TOYS"/>
    <x v="1"/>
    <s v="Детские товары"/>
    <s v="Детская одежда"/>
    <s v="Одежда для малышей"/>
    <s v="Пинетки и антицарапки для малышей"/>
    <m/>
    <x v="0"/>
    <x v="3"/>
    <s v="да"/>
    <n v="1"/>
    <n v="0"/>
    <n v="1"/>
    <n v="0"/>
    <n v="0"/>
    <n v="0"/>
    <n v="-1"/>
    <n v="0"/>
    <n v="-1"/>
    <n v="0"/>
    <n v="0"/>
    <n v="0"/>
    <n v="0"/>
    <n v="0"/>
  </r>
  <r>
    <s v="TOYS"/>
    <x v="1"/>
    <s v="Детские товары"/>
    <s v="Детская комната"/>
    <s v="Аксессуары для кормления"/>
    <s v="Соски"/>
    <m/>
    <x v="0"/>
    <x v="3"/>
    <s v="да"/>
    <n v="1"/>
    <n v="0"/>
    <n v="1"/>
    <n v="0"/>
    <n v="0"/>
    <n v="0"/>
    <n v="-1"/>
    <n v="0"/>
    <n v="-1"/>
    <n v="11"/>
    <n v="18765"/>
    <n v="31"/>
    <n v="6.0650128711720946E-5"/>
    <n v="5.6141926790927467E-5"/>
  </r>
  <r>
    <s v="HOBBIES&amp;SCHOOL"/>
    <x v="1"/>
    <s v="Книги, хобби, канцелярия"/>
    <s v="Канцелярия"/>
    <s v="Организация рабочего места"/>
    <s v="Наборы канцелярских мелочей"/>
    <m/>
    <x v="0"/>
    <x v="0"/>
    <s v="да"/>
    <n v="3"/>
    <n v="1"/>
    <n v="4"/>
    <n v="3"/>
    <n v="0"/>
    <n v="3"/>
    <n v="0"/>
    <n v="-1"/>
    <n v="-1"/>
    <n v="2"/>
    <n v="1426"/>
    <n v="2"/>
    <n v="4.608957289790251E-6"/>
    <n v="3.6220597929630623E-6"/>
  </r>
  <r>
    <s v="HOUSEHOLD"/>
    <x v="4"/>
    <s v="Товары для дома"/>
    <s v="Порядок в доме и уборка"/>
    <s v="Уборка в кухне, ванной и туалете"/>
    <s v="Ершик для унитаза"/>
    <m/>
    <x v="0"/>
    <x v="0"/>
    <s v="да"/>
    <n v="2"/>
    <n v="2"/>
    <n v="4"/>
    <n v="2"/>
    <n v="1"/>
    <n v="3"/>
    <n v="0"/>
    <n v="-1"/>
    <n v="-1"/>
    <n v="17"/>
    <n v="114591.20999999999"/>
    <n v="149"/>
    <n v="3.7036885881864341E-4"/>
    <n v="2.6984345457574816E-4"/>
  </r>
  <r>
    <s v="TOYS"/>
    <x v="1"/>
    <s v="Детские товары"/>
    <s v="Игры и игрушки"/>
    <s v="Игрушки для малышей"/>
    <s v="Игрушки для ванной"/>
    <m/>
    <x v="0"/>
    <x v="1"/>
    <s v="да"/>
    <n v="2"/>
    <n v="1"/>
    <n v="3"/>
    <n v="2"/>
    <n v="0"/>
    <n v="2"/>
    <n v="0"/>
    <n v="-1"/>
    <n v="-1"/>
    <n v="44"/>
    <n v="89739.55"/>
    <n v="218"/>
    <n v="2.9004611020687013E-4"/>
    <n v="3.9480451743297376E-4"/>
  </r>
  <r>
    <s v="TOYS"/>
    <x v="1"/>
    <s v="Детские товары"/>
    <s v="Игры и игрушки"/>
    <s v="Игрушки для всех"/>
    <s v="Конструкторы LEGO"/>
    <m/>
    <x v="0"/>
    <x v="1"/>
    <s v="да"/>
    <n v="0"/>
    <n v="1"/>
    <n v="1"/>
    <n v="0"/>
    <n v="0"/>
    <n v="0"/>
    <n v="0"/>
    <n v="-1"/>
    <n v="-1"/>
    <n v="122"/>
    <n v="1737199.67"/>
    <n v="883"/>
    <n v="5.6147819655453851E-3"/>
    <n v="1.5991393985931919E-3"/>
  </r>
  <r>
    <s v="DIY"/>
    <x v="5"/>
    <s v="Компьютеры и аксессуары"/>
    <s v="IT/Office"/>
    <s v="Оргтехника"/>
    <s v="Запайщик пакетов"/>
    <m/>
    <x v="0"/>
    <x v="0"/>
    <s v="да"/>
    <n v="0"/>
    <n v="1"/>
    <n v="1"/>
    <n v="0"/>
    <n v="0"/>
    <n v="0"/>
    <n v="0"/>
    <n v="-1"/>
    <n v="-1"/>
    <n v="1"/>
    <n v="831"/>
    <n v="5"/>
    <n v="2.6858650124934773E-6"/>
    <n v="9.0551494824076554E-6"/>
  </r>
  <r>
    <s v="BEAUTY&amp;HEALTH&amp; PHARMA"/>
    <x v="0"/>
    <s v="Парфюмерия и декоративная косметика"/>
    <s v="Декоративная косметика"/>
    <s v="Аксессуары"/>
    <s v="Переводные тату"/>
    <m/>
    <x v="0"/>
    <x v="0"/>
    <s v="да"/>
    <n v="0"/>
    <n v="1"/>
    <n v="1"/>
    <n v="0"/>
    <n v="0"/>
    <n v="0"/>
    <n v="0"/>
    <n v="-1"/>
    <n v="-1"/>
    <n v="59"/>
    <n v="16125.47"/>
    <n v="133"/>
    <n v="5.2118935839967746E-5"/>
    <n v="2.4086697623204364E-4"/>
  </r>
  <r>
    <s v="HOBBIES&amp;SCHOOL"/>
    <x v="1"/>
    <s v="Детские товары"/>
    <s v="Игры и игрушки"/>
    <s v="Игрушки для всех"/>
    <s v="Товары для праздника детские"/>
    <m/>
    <x v="0"/>
    <x v="0"/>
    <s v="да"/>
    <n v="0"/>
    <n v="1"/>
    <n v="1"/>
    <n v="0"/>
    <n v="0"/>
    <n v="0"/>
    <n v="0"/>
    <n v="-1"/>
    <n v="-1"/>
    <n v="2"/>
    <n v="554"/>
    <n v="5"/>
    <n v="1.7905766749956516E-6"/>
    <n v="9.0551494824076554E-6"/>
  </r>
  <r>
    <s v="DIY"/>
    <x v="6"/>
    <s v="Спорт и активный отдых"/>
    <s v="Командные виды спорта"/>
    <s v="Футбол"/>
    <s v="Футбольные мячи"/>
    <m/>
    <x v="0"/>
    <x v="0"/>
    <s v="да"/>
    <n v="0"/>
    <n v="1"/>
    <n v="1"/>
    <n v="0"/>
    <n v="0"/>
    <n v="0"/>
    <n v="0"/>
    <n v="-1"/>
    <n v="-1"/>
    <n v="30"/>
    <n v="429271.11000000004"/>
    <n v="393"/>
    <n v="1.3874419437102756E-3"/>
    <n v="7.1173474931724172E-4"/>
  </r>
  <r>
    <s v="HOBBIES&amp;SCHOOL"/>
    <x v="1"/>
    <s v="Книги, хобби, канцелярия"/>
    <s v="Хобби"/>
    <s v="Поделки и рукоделие"/>
    <s v="Аппликации для творчества"/>
    <m/>
    <x v="0"/>
    <x v="0"/>
    <s v="да"/>
    <n v="0"/>
    <n v="1"/>
    <n v="1"/>
    <n v="0"/>
    <n v="0"/>
    <n v="0"/>
    <n v="0"/>
    <n v="-1"/>
    <n v="-1"/>
    <n v="5"/>
    <n v="7049.61"/>
    <n v="56"/>
    <n v="2.2784958905805227E-5"/>
    <n v="1.0141767420296575E-4"/>
  </r>
  <r>
    <s v="TOYS"/>
    <x v="1"/>
    <s v="Детские товары"/>
    <s v="Игры и игрушки"/>
    <s v="Настольные игры детские"/>
    <s v="Пазлы"/>
    <m/>
    <x v="0"/>
    <x v="0"/>
    <s v="да"/>
    <n v="0"/>
    <n v="1"/>
    <n v="1"/>
    <n v="0"/>
    <n v="0"/>
    <n v="0"/>
    <n v="0"/>
    <n v="-1"/>
    <n v="-1"/>
    <n v="160"/>
    <n v="257338.19999999998"/>
    <n v="779"/>
    <n v="8.3173967239235736E-4"/>
    <n v="1.4107922893591127E-3"/>
  </r>
  <r>
    <s v="DIY"/>
    <x v="5"/>
    <s v="Смартфоны и гаджеты"/>
    <s v="Мобильная аксессуарика"/>
    <s v="Аксессуары для телефонов и планшетов"/>
    <s v="Гарнитуры"/>
    <m/>
    <x v="0"/>
    <x v="0"/>
    <s v="да"/>
    <n v="0"/>
    <n v="1"/>
    <n v="1"/>
    <n v="0"/>
    <n v="0"/>
    <n v="0"/>
    <n v="0"/>
    <n v="-1"/>
    <n v="-1"/>
    <n v="2"/>
    <n v="6324.34"/>
    <n v="171"/>
    <n v="2.0440822542855595E-5"/>
    <n v="3.0968611229834184E-4"/>
  </r>
  <r>
    <s v="HOUSEHOLD"/>
    <x v="4"/>
    <s v="Посуда и кухонные принадлежности"/>
    <s v="Фильтры для воды кухонные"/>
    <s v="Фильтры-кувшины"/>
    <s v="Сменные кассеты для фильтров-кувшинов"/>
    <m/>
    <x v="0"/>
    <x v="0"/>
    <s v="да"/>
    <n v="0"/>
    <n v="1"/>
    <n v="1"/>
    <n v="0"/>
    <n v="0"/>
    <n v="0"/>
    <n v="0"/>
    <n v="-1"/>
    <n v="-1"/>
    <n v="20"/>
    <n v="470253.5"/>
    <n v="666"/>
    <n v="1.5199006289441654E-3"/>
    <n v="1.2061459110566997E-3"/>
  </r>
  <r>
    <s v="TOYS"/>
    <x v="3"/>
    <s v="Аксессуары"/>
    <s v="Очки и аксессуары"/>
    <s v="Солнцезащитные очки и оправы для женщин"/>
    <s v="Солнцезащитные очки женские"/>
    <m/>
    <x v="0"/>
    <x v="1"/>
    <s v="да"/>
    <n v="0"/>
    <n v="1"/>
    <n v="1"/>
    <n v="0"/>
    <n v="0"/>
    <n v="0"/>
    <n v="0"/>
    <n v="-1"/>
    <n v="-1"/>
    <n v="36"/>
    <n v="373489.98"/>
    <n v="128"/>
    <n v="1.2071524305642461E-3"/>
    <n v="2.3181182674963599E-4"/>
  </r>
  <r>
    <s v="DIY"/>
    <x v="6"/>
    <s v="Спорт и активный отдых"/>
    <s v="Водные виды спорта"/>
    <s v="Плавание"/>
    <s v="Шапочка для плавания"/>
    <m/>
    <x v="0"/>
    <x v="0"/>
    <s v="да"/>
    <n v="0"/>
    <n v="1"/>
    <n v="1"/>
    <n v="0"/>
    <n v="0"/>
    <n v="0"/>
    <n v="0"/>
    <n v="-1"/>
    <n v="-1"/>
    <n v="70"/>
    <n v="76598.659999999989"/>
    <n v="1080"/>
    <n v="2.4757359915509458E-4"/>
    <n v="1.9559122882000534E-3"/>
  </r>
  <r>
    <s v="TOYS"/>
    <x v="3"/>
    <s v="Обувь"/>
    <s v="Летняя обувь"/>
    <s v="Летняя обувь для мужчин"/>
    <s v="Сабо для мужчин"/>
    <m/>
    <x v="0"/>
    <x v="1"/>
    <s v="да"/>
    <n v="0"/>
    <n v="1"/>
    <n v="1"/>
    <n v="0"/>
    <n v="0"/>
    <n v="0"/>
    <n v="0"/>
    <n v="-1"/>
    <n v="-1"/>
    <n v="270"/>
    <n v="1267241.42"/>
    <n v="805"/>
    <n v="4.0958356105421801E-3"/>
    <n v="1.4578790666676326E-3"/>
  </r>
  <r>
    <s v="BEAUTY&amp;HEALTH&amp; PHARMA"/>
    <x v="0"/>
    <s v="Парфюмерия и декоративная косметика"/>
    <s v="Декоративная косметика"/>
    <s v="Аксессуары"/>
    <s v="Стразы и кристаллы"/>
    <m/>
    <x v="0"/>
    <x v="0"/>
    <s v="да"/>
    <n v="0"/>
    <n v="1"/>
    <n v="1"/>
    <n v="0"/>
    <n v="0"/>
    <n v="0"/>
    <n v="0"/>
    <n v="-1"/>
    <n v="-1"/>
    <n v="36"/>
    <n v="18254.800000000003"/>
    <n v="188"/>
    <n v="5.9001117485037235E-5"/>
    <n v="3.4047362053852783E-4"/>
  </r>
  <r>
    <s v="TOYS"/>
    <x v="3"/>
    <s v="Аксессуары"/>
    <s v="Бижутерия"/>
    <s v="Бижутерия для женщин"/>
    <s v="Серьги бижутерные женские"/>
    <m/>
    <x v="0"/>
    <x v="1"/>
    <s v="да"/>
    <n v="0"/>
    <n v="1"/>
    <n v="1"/>
    <n v="0"/>
    <n v="0"/>
    <n v="0"/>
    <n v="0"/>
    <n v="-1"/>
    <n v="-1"/>
    <n v="16"/>
    <n v="13624.05"/>
    <n v="25"/>
    <n v="4.4034126622697664E-5"/>
    <n v="4.5275747412038275E-5"/>
  </r>
  <r>
    <s v="DIY"/>
    <x v="5"/>
    <s v="Бытовая техника и Электроника"/>
    <s v="Климатическая техника"/>
    <s v="Вентиляторы"/>
    <s v="Настольные вентиляторы"/>
    <m/>
    <x v="0"/>
    <x v="1"/>
    <s v="да"/>
    <n v="0"/>
    <n v="1"/>
    <n v="1"/>
    <n v="0"/>
    <n v="0"/>
    <n v="0"/>
    <n v="0"/>
    <n v="-1"/>
    <n v="-1"/>
    <n v="0"/>
    <n v="0"/>
    <n v="0"/>
    <n v="0"/>
    <n v="0"/>
  </r>
  <r>
    <s v="TOYS"/>
    <x v="3"/>
    <s v="Обувь"/>
    <s v="Летняя обувь"/>
    <s v="Летняя обувь для женщин"/>
    <s v="Шлепанцы для женщин"/>
    <m/>
    <x v="0"/>
    <x v="1"/>
    <s v="да"/>
    <n v="0"/>
    <n v="1"/>
    <n v="1"/>
    <n v="0"/>
    <n v="0"/>
    <n v="0"/>
    <n v="0"/>
    <n v="-1"/>
    <n v="-1"/>
    <n v="89"/>
    <n v="169387.70000000004"/>
    <n v="362"/>
    <n v="5.4747592897321483E-4"/>
    <n v="6.5559282252631429E-4"/>
  </r>
  <r>
    <s v="TOYS"/>
    <x v="1"/>
    <s v="Детские товары"/>
    <s v="Аксессуары для детей"/>
    <s v="Сумки"/>
    <s v="Сумки детские"/>
    <m/>
    <x v="0"/>
    <x v="1"/>
    <s v="да"/>
    <n v="0"/>
    <n v="1"/>
    <n v="1"/>
    <n v="0"/>
    <n v="0"/>
    <n v="0"/>
    <n v="0"/>
    <n v="-1"/>
    <n v="-1"/>
    <n v="16"/>
    <n v="16616.550000000003"/>
    <n v="48"/>
    <n v="5.37061495467491E-5"/>
    <n v="8.6929435031113489E-5"/>
  </r>
  <r>
    <s v="DIY"/>
    <x v="6"/>
    <s v="Спорт и активный отдых"/>
    <s v="Водные виды спорта"/>
    <s v="Плавание"/>
    <s v="Очки и маски для плавания"/>
    <m/>
    <x v="0"/>
    <x v="0"/>
    <s v="да"/>
    <n v="0"/>
    <n v="1"/>
    <n v="1"/>
    <n v="0"/>
    <n v="0"/>
    <n v="0"/>
    <n v="0"/>
    <n v="-1"/>
    <n v="-1"/>
    <n v="89"/>
    <n v="143844.46000000005"/>
    <n v="1251"/>
    <n v="4.6491793303852906E-4"/>
    <n v="2.2655984004983955E-3"/>
  </r>
  <r>
    <s v="TOYS"/>
    <x v="3"/>
    <s v="Аксессуары"/>
    <s v="Бижутерия"/>
    <s v="Бижутерия для женщин"/>
    <s v="Цепь, колье для женщин"/>
    <m/>
    <x v="0"/>
    <x v="1"/>
    <s v="да"/>
    <n v="0"/>
    <n v="1"/>
    <n v="1"/>
    <n v="0"/>
    <n v="0"/>
    <n v="0"/>
    <n v="0"/>
    <n v="-1"/>
    <n v="-1"/>
    <n v="15"/>
    <n v="15529.89"/>
    <n v="29"/>
    <n v="5.019396895171159E-5"/>
    <n v="5.2519866997964405E-5"/>
  </r>
  <r>
    <s v="BEAUTY&amp;HEALTH&amp; PHARMA"/>
    <x v="0"/>
    <s v="Парфюмерия и декоративная косметика"/>
    <s v="Декоративная косметика"/>
    <s v="Для лица"/>
    <s v="Глиттеры"/>
    <m/>
    <x v="0"/>
    <x v="1"/>
    <s v="да"/>
    <n v="0"/>
    <n v="1"/>
    <n v="1"/>
    <n v="0"/>
    <n v="0"/>
    <n v="0"/>
    <n v="0"/>
    <n v="-1"/>
    <n v="-1"/>
    <n v="36"/>
    <n v="16684.009999999995"/>
    <n v="99"/>
    <n v="5.3924186193852336E-5"/>
    <n v="1.7929195975167157E-4"/>
  </r>
  <r>
    <s v="DIY"/>
    <x v="4"/>
    <s v="Компьютеры и аксессуары"/>
    <s v="Элементы питания"/>
    <s v="Батарейки"/>
    <s v="Батарейки прочие"/>
    <m/>
    <x v="0"/>
    <x v="0"/>
    <s v="да"/>
    <n v="0"/>
    <n v="1"/>
    <n v="1"/>
    <n v="0"/>
    <n v="0"/>
    <n v="0"/>
    <n v="0"/>
    <n v="-1"/>
    <n v="-1"/>
    <n v="3"/>
    <n v="1197.32"/>
    <n v="4"/>
    <n v="3.8698434377360891E-6"/>
    <n v="7.2441195859261247E-6"/>
  </r>
  <r>
    <s v="DIY"/>
    <x v="6"/>
    <s v="Спорт и активный отдых"/>
    <s v="Тренажеры и фитнес"/>
    <s v="Тренажеры и фитнес"/>
    <s v="Оборудование для фитнеса"/>
    <m/>
    <x v="0"/>
    <x v="0"/>
    <s v="да"/>
    <n v="0"/>
    <n v="1"/>
    <n v="1"/>
    <n v="0"/>
    <n v="0"/>
    <n v="0"/>
    <n v="0"/>
    <n v="-1"/>
    <n v="-1"/>
    <n v="17"/>
    <n v="29017.22"/>
    <n v="56"/>
    <n v="9.3786204522052939E-5"/>
    <n v="1.0141767420296575E-4"/>
  </r>
  <r>
    <s v="TOYS"/>
    <x v="3"/>
    <s v="Аксессуары"/>
    <s v="Бижутерия"/>
    <s v="Бижутерия для женщин"/>
    <s v="Браслет бижутерный женский"/>
    <m/>
    <x v="0"/>
    <x v="1"/>
    <s v="да"/>
    <n v="0"/>
    <n v="1"/>
    <n v="1"/>
    <n v="0"/>
    <n v="0"/>
    <n v="0"/>
    <n v="0"/>
    <n v="-1"/>
    <n v="-1"/>
    <n v="36"/>
    <n v="48239.44"/>
    <n v="352"/>
    <n v="1.5591410844558167E-4"/>
    <n v="6.3748252356149893E-4"/>
  </r>
  <r>
    <s v="DIY"/>
    <x v="5"/>
    <s v="Бытовая техника и Электроника"/>
    <s v="Крупная бытовая техника"/>
    <s v="Аксессуары для Крупно бытовой техники"/>
    <s v="Аксессуары для плит и духовок"/>
    <m/>
    <x v="0"/>
    <x v="0"/>
    <s v="да"/>
    <n v="0"/>
    <n v="1"/>
    <n v="1"/>
    <n v="0"/>
    <n v="0"/>
    <n v="0"/>
    <n v="0"/>
    <n v="-1"/>
    <n v="-1"/>
    <n v="0"/>
    <n v="0"/>
    <n v="0"/>
    <n v="0"/>
    <n v="0"/>
  </r>
  <r>
    <s v="TOYS"/>
    <x v="3"/>
    <s v="Аксессуары"/>
    <s v="Бижутерия"/>
    <s v="Бижутерия общее"/>
    <s v="Комплект бижутерный"/>
    <m/>
    <x v="0"/>
    <x v="1"/>
    <s v="да"/>
    <n v="0"/>
    <n v="1"/>
    <n v="1"/>
    <n v="0"/>
    <n v="0"/>
    <n v="0"/>
    <n v="0"/>
    <n v="-1"/>
    <n v="-1"/>
    <n v="35"/>
    <n v="18012.420000000002"/>
    <n v="154"/>
    <n v="5.8217724029287325E-5"/>
    <n v="2.7889860405815579E-4"/>
  </r>
  <r>
    <s v="BEAUTY&amp;HEALTH&amp; PHARMA"/>
    <x v="0"/>
    <s v="Парфюмерия и декоративная косметика"/>
    <s v="Декоративная косметика"/>
    <s v="Для ногтей"/>
    <s v="Дизайн маникюра"/>
    <m/>
    <x v="0"/>
    <x v="0"/>
    <s v="да"/>
    <n v="0"/>
    <n v="1"/>
    <n v="1"/>
    <n v="0"/>
    <n v="0"/>
    <n v="0"/>
    <n v="0"/>
    <n v="-1"/>
    <n v="-1"/>
    <n v="68"/>
    <n v="55715.909999999982"/>
    <n v="1441"/>
    <n v="1.8007871637573455E-4"/>
    <n v="2.6096940808298863E-3"/>
  </r>
  <r>
    <s v="DIY"/>
    <x v="6"/>
    <s v="Спорт и активный отдых"/>
    <s v="Велоспорт"/>
    <s v="Велоаксессуары"/>
    <s v="Велосвет"/>
    <m/>
    <x v="0"/>
    <x v="1"/>
    <s v="да"/>
    <n v="0"/>
    <n v="1"/>
    <n v="1"/>
    <n v="0"/>
    <n v="0"/>
    <n v="0"/>
    <n v="0"/>
    <n v="-1"/>
    <n v="-1"/>
    <n v="0"/>
    <n v="0"/>
    <n v="0"/>
    <n v="0"/>
    <n v="0"/>
  </r>
  <r>
    <s v="TOYS"/>
    <x v="3"/>
    <s v="Одежда"/>
    <s v="Основная одежда"/>
    <s v="Основная одежда для женщин"/>
    <s v="Футболка для женщин"/>
    <m/>
    <x v="0"/>
    <x v="1"/>
    <s v="да"/>
    <n v="0"/>
    <n v="1"/>
    <n v="1"/>
    <n v="0"/>
    <n v="0"/>
    <n v="0"/>
    <n v="0"/>
    <n v="-1"/>
    <n v="-1"/>
    <n v="620"/>
    <n v="799709.40000000014"/>
    <n v="1568"/>
    <n v="2.584731044069978E-3"/>
    <n v="2.8396948776830406E-3"/>
  </r>
  <r>
    <s v="HOBBIES&amp;SCHOOL"/>
    <x v="1"/>
    <s v="Книги, хобби, канцелярия"/>
    <s v="Хобби"/>
    <s v="Товары для рисования"/>
    <s v="Стаканчики для воды"/>
    <m/>
    <x v="0"/>
    <x v="0"/>
    <s v="да"/>
    <n v="0"/>
    <n v="2"/>
    <n v="2"/>
    <n v="1"/>
    <n v="0"/>
    <n v="1"/>
    <n v="1"/>
    <n v="-2"/>
    <n v="-1"/>
    <n v="0"/>
    <n v="0"/>
    <n v="0"/>
    <n v="0"/>
    <n v="0"/>
  </r>
  <r>
    <s v="TOYS"/>
    <x v="1"/>
    <s v="Детские товары"/>
    <s v="Детская комната"/>
    <s v="Бытовая техника для детской"/>
    <s v="Бытовая техника для детской"/>
    <m/>
    <x v="0"/>
    <x v="0"/>
    <s v="да"/>
    <n v="0"/>
    <n v="2"/>
    <n v="2"/>
    <n v="1"/>
    <n v="0"/>
    <n v="1"/>
    <n v="1"/>
    <n v="-2"/>
    <n v="-1"/>
    <n v="1"/>
    <n v="2577"/>
    <n v="2"/>
    <n v="8.329090417804682E-6"/>
    <n v="3.6220597929630623E-6"/>
  </r>
  <r>
    <s v="BEAUTY&amp;HEALTH&amp; PHARMA"/>
    <x v="0"/>
    <s v="Бады и Витамины"/>
    <s v="Бады"/>
    <s v="Бады для иммунитета"/>
    <s v="Бады для иммунитета"/>
    <m/>
    <x v="0"/>
    <x v="0"/>
    <s v="да"/>
    <n v="6"/>
    <n v="0"/>
    <n v="6"/>
    <n v="4"/>
    <n v="0"/>
    <n v="4"/>
    <n v="-2"/>
    <n v="0"/>
    <n v="-2"/>
    <n v="1"/>
    <n v="1763.57"/>
    <n v="3"/>
    <n v="5.7000131890290278E-6"/>
    <n v="5.4330896894445931E-6"/>
  </r>
  <r>
    <s v="FOODZOO"/>
    <x v="2"/>
    <s v="Гигиена"/>
    <s v="Бритье"/>
    <s v="Для бритья"/>
    <s v="Для бритья пены"/>
    <m/>
    <x v="1"/>
    <x v="1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Мастурбаторы"/>
    <s v="Наладонные мастурбаторы"/>
    <m/>
    <x v="0"/>
    <x v="0"/>
    <s v="да"/>
    <n v="3"/>
    <n v="0"/>
    <n v="3"/>
    <n v="1"/>
    <n v="0"/>
    <n v="1"/>
    <n v="-2"/>
    <n v="0"/>
    <n v="-2"/>
    <n v="56"/>
    <n v="107509.07999999999"/>
    <n v="150"/>
    <n v="3.4747879241559833E-4"/>
    <n v="2.7165448447222967E-4"/>
  </r>
  <r>
    <s v="DIY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ух и ос"/>
    <m/>
    <x v="1"/>
    <x v="1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Детская влажная туалетная бумага"/>
    <s v="Детская влажная туалетная бумага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Медиаплееры"/>
    <m/>
    <x v="0"/>
    <x v="0"/>
    <s v="да"/>
    <n v="2"/>
    <n v="0"/>
    <n v="2"/>
    <n v="0"/>
    <n v="0"/>
    <n v="0"/>
    <n v="-2"/>
    <n v="0"/>
    <n v="-2"/>
    <n v="4"/>
    <n v="258609.06"/>
    <n v="76"/>
    <n v="8.3584720357139165E-4"/>
    <n v="1.3763827213259636E-4"/>
  </r>
  <r>
    <s v="DIY"/>
    <x v="5"/>
    <s v="Компьютеры и аксессуары"/>
    <s v="IT/Office"/>
    <s v="Мобильные и стационарные компьютеры"/>
    <s v="Web-камера"/>
    <m/>
    <x v="0"/>
    <x v="0"/>
    <s v="да"/>
    <n v="3"/>
    <n v="0"/>
    <n v="3"/>
    <n v="1"/>
    <n v="0"/>
    <n v="1"/>
    <n v="-2"/>
    <n v="0"/>
    <n v="-2"/>
    <n v="7"/>
    <n v="25875.23"/>
    <n v="13"/>
    <n v="8.3631016783660168E-5"/>
    <n v="2.3543388654259903E-5"/>
  </r>
  <r>
    <s v="DIY"/>
    <x v="5"/>
    <s v="Компьютеры и аксессуары"/>
    <s v="Комплектующие и аксессуары для ПК"/>
    <s v="Компьютерные комплектующие"/>
    <s v="Внутренний SSD накопитель"/>
    <m/>
    <x v="0"/>
    <x v="0"/>
    <s v="да"/>
    <n v="2"/>
    <n v="0"/>
    <n v="2"/>
    <n v="0"/>
    <n v="0"/>
    <n v="0"/>
    <n v="-2"/>
    <n v="0"/>
    <n v="-2"/>
    <n v="3"/>
    <n v="23030"/>
    <n v="8"/>
    <n v="7.4434983438898661E-5"/>
    <n v="1.4488239171852249E-5"/>
  </r>
  <r>
    <s v="DIY"/>
    <x v="6"/>
    <s v="Спорт и активный отдых"/>
    <s v="Рыбалка"/>
    <s v="Эхолоты и камеры для рыбалки"/>
    <s v="Эхолот"/>
    <m/>
    <x v="0"/>
    <x v="1"/>
    <s v="да"/>
    <n v="2"/>
    <n v="0"/>
    <n v="2"/>
    <n v="0"/>
    <n v="0"/>
    <n v="0"/>
    <n v="-2"/>
    <n v="0"/>
    <n v="-2"/>
    <n v="0"/>
    <n v="0"/>
    <n v="0"/>
    <n v="0"/>
    <n v="0"/>
  </r>
  <r>
    <s v="DIY"/>
    <x v="4"/>
    <s v="Ремонт и обустройство дома"/>
    <s v="Фильтры и системы очистки воды"/>
    <s v="Очистка воды"/>
    <s v="Система для очистки воды"/>
    <m/>
    <x v="0"/>
    <x v="4"/>
    <s v="да"/>
    <n v="10"/>
    <n v="0"/>
    <n v="10"/>
    <n v="8"/>
    <n v="0"/>
    <n v="8"/>
    <n v="-2"/>
    <n v="0"/>
    <n v="-2"/>
    <n v="8"/>
    <n v="124016.26999999999"/>
    <n v="50"/>
    <n v="4.0083148083386815E-4"/>
    <n v="9.0551494824076551E-5"/>
  </r>
  <r>
    <s v="FOODZOO"/>
    <x v="2"/>
    <s v="Продукция для животных"/>
    <s v="Корма и лакомства для кошек"/>
    <s v="Сухие корма для кошек и котят"/>
    <s v="Сухие корма для котят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Товары для приготовления алкоголя"/>
    <s v="Сифон для воды и комплектующие"/>
    <m/>
    <x v="1"/>
    <x v="2"/>
    <s v="нет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Аксессуары и игрушки"/>
    <s v="Коррекция поведения и поглотители запаха"/>
    <s v="Приучение к месту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кошек"/>
    <s v="Сухие корма для кошек и котят"/>
    <s v="Дополнительное питание для кошек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Гигиена"/>
    <s v="Первая помощь"/>
    <s v="Диагностические тесты"/>
    <s v="Тесты для определения беременност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Детские средства для стирки"/>
    <s v="Детские средства для стир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одноразовые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Мочалка для бани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Влажные салфетки для уборки"/>
    <s v="Влажные салфетки для убор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корма для взрослых собак малых пород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Ароматические свеч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Елочные украшения"/>
    <s v="Елочная игрушка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Гуашь"/>
    <m/>
    <x v="0"/>
    <x v="0"/>
    <s v="да"/>
    <n v="6"/>
    <n v="1"/>
    <n v="7"/>
    <n v="4"/>
    <n v="1"/>
    <n v="5"/>
    <n v="-2"/>
    <n v="0"/>
    <n v="-2"/>
    <n v="16"/>
    <n v="52900.54"/>
    <n v="325"/>
    <n v="1.7097919317450266E-4"/>
    <n v="5.8858471635649763E-4"/>
  </r>
  <r>
    <s v="HOBBIES&amp;SCHOOL"/>
    <x v="1"/>
    <s v="Книги, хобби, канцелярия"/>
    <s v="Книги"/>
    <s v="Детские энциклопедии"/>
    <s v="Детские энциклопедии"/>
    <m/>
    <x v="0"/>
    <x v="0"/>
    <s v="да"/>
    <n v="2"/>
    <n v="0"/>
    <n v="2"/>
    <n v="0"/>
    <n v="0"/>
    <n v="0"/>
    <n v="-2"/>
    <n v="0"/>
    <n v="-2"/>
    <n v="20"/>
    <n v="62800.86"/>
    <n v="89"/>
    <n v="2.029778972665477E-4"/>
    <n v="1.6118166078685626E-4"/>
  </r>
  <r>
    <s v="HOBBIES&amp;SCHOOL"/>
    <x v="1"/>
    <s v="Книги, хобби, канцелярия"/>
    <s v="Книги"/>
    <s v="Дом и досуг"/>
    <s v="Дом и досуг"/>
    <m/>
    <x v="0"/>
    <x v="0"/>
    <s v="да"/>
    <n v="2"/>
    <n v="0"/>
    <n v="2"/>
    <n v="0"/>
    <n v="0"/>
    <n v="0"/>
    <n v="-2"/>
    <n v="0"/>
    <n v="-2"/>
    <n v="9"/>
    <n v="29448.100000000002"/>
    <n v="50"/>
    <n v="9.5178846539601902E-5"/>
    <n v="9.0551494824076551E-5"/>
  </r>
  <r>
    <s v="HOBBIES&amp;SCHOOL"/>
    <x v="1"/>
    <s v="Книги, хобби, канцелярия"/>
    <s v="Книги"/>
    <s v="Книги для ВУЗов"/>
    <s v="Бизнес, экономика"/>
    <m/>
    <x v="0"/>
    <x v="0"/>
    <s v="да"/>
    <n v="2"/>
    <n v="0"/>
    <n v="2"/>
    <n v="0"/>
    <n v="0"/>
    <n v="0"/>
    <n v="-2"/>
    <n v="0"/>
    <n v="-2"/>
    <n v="3"/>
    <n v="4142"/>
    <n v="4"/>
    <n v="1.3387307920274349E-5"/>
    <n v="7.2441195859261247E-6"/>
  </r>
  <r>
    <s v="HOBBIES&amp;SCHOOL"/>
    <x v="1"/>
    <s v="Книги, хобби, канцелярия"/>
    <s v="Книги"/>
    <s v="Книги для детей и родителей"/>
    <s v="Детская психология и здоровье"/>
    <m/>
    <x v="0"/>
    <x v="0"/>
    <s v="да"/>
    <n v="2"/>
    <n v="0"/>
    <n v="2"/>
    <n v="0"/>
    <n v="0"/>
    <n v="0"/>
    <n v="-2"/>
    <n v="0"/>
    <n v="-2"/>
    <n v="2"/>
    <n v="4262"/>
    <n v="11"/>
    <n v="1.3775158463594707E-5"/>
    <n v="1.9921328861296842E-5"/>
  </r>
  <r>
    <s v="HOBBIES&amp;SCHOOL"/>
    <x v="1"/>
    <s v="Книги, хобби, канцелярия"/>
    <s v="Книги"/>
    <s v="Самоучители"/>
    <s v="Самоучители"/>
    <m/>
    <x v="0"/>
    <x v="0"/>
    <s v="да"/>
    <n v="2"/>
    <n v="0"/>
    <n v="2"/>
    <n v="0"/>
    <n v="0"/>
    <n v="0"/>
    <n v="-2"/>
    <n v="0"/>
    <n v="-2"/>
    <n v="9"/>
    <n v="15479.27"/>
    <n v="26"/>
    <n v="5.0030360664187623E-5"/>
    <n v="4.7086777308519806E-5"/>
  </r>
  <r>
    <s v="HOBBIES&amp;SCHOOL"/>
    <x v="1"/>
    <s v="Книги, хобби, канцелярия"/>
    <s v="Книги"/>
    <s v="Спорт, красота и здоровье"/>
    <s v="Спорт, красота и здоровье"/>
    <m/>
    <x v="0"/>
    <x v="0"/>
    <s v="да"/>
    <n v="2"/>
    <n v="0"/>
    <n v="2"/>
    <n v="0"/>
    <n v="0"/>
    <n v="0"/>
    <n v="-2"/>
    <n v="0"/>
    <n v="-2"/>
    <n v="7"/>
    <n v="18215"/>
    <n v="24"/>
    <n v="5.8872480388169302E-5"/>
    <n v="4.3464717515556745E-5"/>
  </r>
  <r>
    <s v="HOBBIES&amp;SCHOOL"/>
    <x v="1"/>
    <s v="Книги, хобби, канцелярия"/>
    <s v="Канцелярия"/>
    <s v="Организация рабочего места"/>
    <s v="Лупы"/>
    <m/>
    <x v="0"/>
    <x v="0"/>
    <s v="да"/>
    <n v="2"/>
    <n v="0"/>
    <n v="2"/>
    <n v="0"/>
    <n v="0"/>
    <n v="0"/>
    <n v="-2"/>
    <n v="0"/>
    <n v="-2"/>
    <n v="0"/>
    <n v="0"/>
    <n v="0"/>
    <n v="0"/>
    <n v="0"/>
  </r>
  <r>
    <s v="FOODZOO"/>
    <x v="2"/>
    <s v="Гигиена"/>
    <s v="Депиляция"/>
    <s v="Депиляционные средства"/>
    <s v="Депиляционные полос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Гигиена"/>
    <s v="Средства личной гигиены"/>
    <s v="Маски защитные"/>
    <s v="Маски защитные многоразовые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Одежда"/>
    <s v="Бельё"/>
    <s v="Белье для женщин"/>
    <s v="Термобелье для женщин"/>
    <m/>
    <x v="0"/>
    <x v="0"/>
    <s v="да"/>
    <n v="2"/>
    <n v="0"/>
    <n v="2"/>
    <n v="0"/>
    <n v="0"/>
    <n v="0"/>
    <n v="-2"/>
    <n v="0"/>
    <n v="-2"/>
    <n v="0"/>
    <n v="0"/>
    <n v="0"/>
    <n v="0"/>
    <n v="0"/>
  </r>
  <r>
    <s v="HOUSEHOLD"/>
    <x v="4"/>
    <s v="Праздничные и сезонные товары"/>
    <s v="Новогодние товары"/>
    <s v="Салюты, петарды, фейерверки"/>
    <s v="Хлопушка пиротехническая"/>
    <m/>
    <x v="1"/>
    <x v="2"/>
    <s v="нет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Средства для стирки"/>
    <s v="Пятновыводители"/>
    <s v="Пятновыводител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Влажные корма для собак"/>
    <s v="Влажные специализированные корма для собак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TOYS"/>
    <x v="1"/>
    <s v="Детские товары"/>
    <s v="Детская комната"/>
    <s v="Мебель для детской комнаты"/>
    <s v="Кроватки, матрасы и постельное бельё"/>
    <m/>
    <x v="0"/>
    <x v="0"/>
    <s v="да"/>
    <n v="2"/>
    <n v="0"/>
    <n v="2"/>
    <n v="0"/>
    <n v="0"/>
    <n v="0"/>
    <n v="-2"/>
    <n v="0"/>
    <n v="-2"/>
    <n v="18"/>
    <n v="51597.919999999998"/>
    <n v="55"/>
    <n v="1.6676901088500296E-4"/>
    <n v="9.9606644306484218E-5"/>
  </r>
  <r>
    <s v="FOODZOO"/>
    <x v="2"/>
    <s v="Гигиена"/>
    <s v="Дезодоранты"/>
    <s v="Дезодоранты женские"/>
    <s v="Дезодоранты женские роли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Табачные изделия"/>
    <s v="Сигареты"/>
    <s v="Сигареты"/>
    <s v="Сигареты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Впитывающие наполнител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Текстиль для спальни"/>
    <s v="Подушки и наволочки декоративные"/>
    <s v="Наволочка декоративная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Новогодние товары"/>
    <s v="Новогодние украшения для дома"/>
    <s v="Гирлянды-растяжки, подвесные украшения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женщин"/>
    <s v="Сумка женская"/>
    <m/>
    <x v="0"/>
    <x v="1"/>
    <s v="да"/>
    <n v="1"/>
    <n v="1"/>
    <n v="2"/>
    <n v="0"/>
    <n v="0"/>
    <n v="0"/>
    <n v="-1"/>
    <n v="-1"/>
    <n v="-2"/>
    <n v="400"/>
    <n v="4933470.839999998"/>
    <n v="2361"/>
    <n v="1.5945411214576176E-2"/>
    <n v="4.2758415855928952E-3"/>
  </r>
  <r>
    <s v="TOYS"/>
    <x v="3"/>
    <s v="Аксессуары"/>
    <s v="Головные уборы"/>
    <s v="Головные уборы для женщин"/>
    <s v="Бандана женская"/>
    <m/>
    <x v="0"/>
    <x v="1"/>
    <s v="да"/>
    <n v="1"/>
    <n v="1"/>
    <n v="2"/>
    <n v="0"/>
    <n v="0"/>
    <n v="0"/>
    <n v="-1"/>
    <n v="-1"/>
    <n v="-2"/>
    <n v="0"/>
    <n v="0"/>
    <n v="0"/>
    <n v="0"/>
    <n v="0"/>
  </r>
  <r>
    <s v="HOBBIES&amp;SCHOOL"/>
    <x v="1"/>
    <s v="Книги, хобби, канцелярия"/>
    <s v="Хобби"/>
    <s v="Коллекционирование"/>
    <s v="Значки"/>
    <m/>
    <x v="0"/>
    <x v="0"/>
    <s v="да"/>
    <n v="0"/>
    <n v="2"/>
    <n v="2"/>
    <n v="0"/>
    <n v="0"/>
    <n v="0"/>
    <n v="0"/>
    <n v="-2"/>
    <n v="-2"/>
    <n v="28"/>
    <n v="26257.37"/>
    <n v="76"/>
    <n v="8.4866126838863845E-5"/>
    <n v="1.3763827213259636E-4"/>
  </r>
  <r>
    <s v="HOUSEHOLD"/>
    <x v="4"/>
    <s v="Товары для дома"/>
    <s v="Сопутствующие промышленные товары"/>
    <s v="Промышленные товары прочие"/>
    <s v="Сопутствующие товары прочие"/>
    <m/>
    <x v="0"/>
    <x v="0"/>
    <s v="да"/>
    <n v="0"/>
    <n v="2"/>
    <n v="2"/>
    <n v="0"/>
    <n v="0"/>
    <n v="0"/>
    <n v="0"/>
    <n v="-2"/>
    <n v="-2"/>
    <n v="11"/>
    <n v="14811.249999999998"/>
    <n v="158"/>
    <n v="4.7871261331280403E-5"/>
    <n v="2.8614272364408191E-4"/>
  </r>
  <r>
    <s v="TOYS"/>
    <x v="3"/>
    <s v="Аксессуары"/>
    <s v="Бижутерия"/>
    <s v="Бижутерия общее"/>
    <s v="Значок"/>
    <m/>
    <x v="0"/>
    <x v="0"/>
    <s v="да"/>
    <n v="0"/>
    <n v="2"/>
    <n v="2"/>
    <n v="0"/>
    <n v="0"/>
    <n v="0"/>
    <n v="0"/>
    <n v="-2"/>
    <n v="-2"/>
    <n v="0"/>
    <n v="0"/>
    <n v="0"/>
    <n v="0"/>
    <n v="0"/>
  </r>
  <r>
    <s v="TOYS"/>
    <x v="3"/>
    <s v="Аксессуары"/>
    <s v="Очки и аксессуары"/>
    <s v="Солнцезащитные очки и оправы для мужчин"/>
    <s v="Солнцезащитные очки мужские"/>
    <m/>
    <x v="0"/>
    <x v="1"/>
    <s v="да"/>
    <n v="0"/>
    <n v="2"/>
    <n v="2"/>
    <n v="0"/>
    <n v="0"/>
    <n v="0"/>
    <n v="0"/>
    <n v="-2"/>
    <n v="-2"/>
    <n v="12"/>
    <n v="44525.020000000004"/>
    <n v="27"/>
    <n v="1.4390877665291499E-4"/>
    <n v="4.8897807205001337E-5"/>
  </r>
  <r>
    <s v="TOYS"/>
    <x v="3"/>
    <s v="Обувь"/>
    <s v="Летняя обувь"/>
    <s v="Летняя обувь для женщин"/>
    <s v="Сабо для женщин"/>
    <m/>
    <x v="0"/>
    <x v="1"/>
    <s v="да"/>
    <n v="0"/>
    <n v="2"/>
    <n v="2"/>
    <n v="0"/>
    <n v="0"/>
    <n v="0"/>
    <n v="0"/>
    <n v="-2"/>
    <n v="-2"/>
    <n v="183"/>
    <n v="364277.65"/>
    <n v="547"/>
    <n v="1.1773773705996927E-3"/>
    <n v="9.9063335337539762E-4"/>
  </r>
  <r>
    <s v="TOYS"/>
    <x v="3"/>
    <s v="Аксессуары"/>
    <s v="Бижутерия"/>
    <s v="Бижутерия общее"/>
    <s v="Чокер бижутерный"/>
    <m/>
    <x v="0"/>
    <x v="1"/>
    <s v="да"/>
    <n v="0"/>
    <n v="2"/>
    <n v="2"/>
    <n v="0"/>
    <n v="0"/>
    <n v="0"/>
    <n v="0"/>
    <n v="-2"/>
    <n v="-2"/>
    <n v="9"/>
    <n v="12227.630000000001"/>
    <n v="26"/>
    <n v="3.9520774491835886E-5"/>
    <n v="4.7086777308519806E-5"/>
  </r>
  <r>
    <s v="TOYS"/>
    <x v="1"/>
    <s v="Детские товары"/>
    <s v="Игры и игрушки"/>
    <s v="Игрушки для малышей"/>
    <s v="Кукольный театр"/>
    <m/>
    <x v="0"/>
    <x v="1"/>
    <s v="да"/>
    <n v="0"/>
    <n v="2"/>
    <n v="2"/>
    <n v="0"/>
    <n v="0"/>
    <n v="0"/>
    <n v="0"/>
    <n v="-2"/>
    <n v="-2"/>
    <n v="4"/>
    <n v="9847.869999999999"/>
    <n v="16"/>
    <n v="3.1829181083735426E-5"/>
    <n v="2.8976478343704499E-5"/>
  </r>
  <r>
    <s v="HOBBIES&amp;SCHOOL"/>
    <x v="1"/>
    <s v="Книги, хобби, канцелярия"/>
    <s v="Хобби"/>
    <s v="Поделки и рукоделие"/>
    <s v="Квиллинг"/>
    <m/>
    <x v="0"/>
    <x v="0"/>
    <s v="да"/>
    <n v="0"/>
    <n v="2"/>
    <n v="2"/>
    <n v="0"/>
    <n v="0"/>
    <n v="0"/>
    <n v="0"/>
    <n v="-2"/>
    <n v="-2"/>
    <n v="0"/>
    <n v="0"/>
    <n v="0"/>
    <n v="0"/>
    <n v="0"/>
  </r>
  <r>
    <s v="BEAUTY&amp;HEALTH&amp; PHARMA"/>
    <x v="0"/>
    <s v="Парфюмерия и декоративная косметика"/>
    <s v="Декоративная косметика"/>
    <s v="Аксессуары"/>
    <s v="Трафареты"/>
    <m/>
    <x v="0"/>
    <x v="0"/>
    <s v="да"/>
    <n v="0"/>
    <n v="2"/>
    <n v="2"/>
    <n v="0"/>
    <n v="0"/>
    <n v="0"/>
    <n v="0"/>
    <n v="-2"/>
    <n v="-2"/>
    <n v="2"/>
    <n v="5367"/>
    <n v="8"/>
    <n v="1.7346615550003001E-5"/>
    <n v="1.4488239171852249E-5"/>
  </r>
  <r>
    <s v="TOYS"/>
    <x v="3"/>
    <s v="Аксессуары"/>
    <s v="Бижутерия"/>
    <s v="Бижутерия для женщин"/>
    <s v="Подвеска бижутерная женская"/>
    <m/>
    <x v="0"/>
    <x v="1"/>
    <s v="да"/>
    <n v="0"/>
    <n v="2"/>
    <n v="2"/>
    <n v="0"/>
    <n v="0"/>
    <n v="0"/>
    <n v="0"/>
    <n v="-2"/>
    <n v="-2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Карандаши механические, цанговые"/>
    <m/>
    <x v="0"/>
    <x v="0"/>
    <s v="да"/>
    <n v="0"/>
    <n v="3"/>
    <n v="3"/>
    <n v="1"/>
    <n v="0"/>
    <n v="1"/>
    <n v="1"/>
    <n v="-3"/>
    <n v="-2"/>
    <n v="2"/>
    <n v="865.37"/>
    <n v="11"/>
    <n v="2.7969518722761501E-6"/>
    <n v="1.9921328861296842E-5"/>
  </r>
  <r>
    <s v="TOYS"/>
    <x v="3"/>
    <s v="Обувь"/>
    <s v="Домашняя обувь"/>
    <s v="Домашняя обувь"/>
    <s v="Тапочки для женщин"/>
    <m/>
    <x v="0"/>
    <x v="1"/>
    <s v="да"/>
    <n v="0"/>
    <n v="3"/>
    <n v="3"/>
    <n v="1"/>
    <n v="0"/>
    <n v="1"/>
    <n v="1"/>
    <n v="-3"/>
    <n v="-2"/>
    <n v="39"/>
    <n v="81758.450000000012"/>
    <n v="86"/>
    <n v="2.6425049377941926E-4"/>
    <n v="1.5574857109741167E-4"/>
  </r>
  <r>
    <s v="HOBBIES&amp;SCHOOL"/>
    <x v="1"/>
    <s v="Книги, хобби, канцелярия"/>
    <s v="Канцелярия"/>
    <s v="Бумажная продукция"/>
    <s v="Бумага для заметок, закладки, стикеры"/>
    <m/>
    <x v="0"/>
    <x v="0"/>
    <s v="да"/>
    <n v="2"/>
    <n v="6"/>
    <n v="8"/>
    <n v="6"/>
    <n v="0"/>
    <n v="6"/>
    <n v="4"/>
    <n v="-6"/>
    <n v="-2"/>
    <n v="33"/>
    <n v="41995.9"/>
    <n v="293"/>
    <n v="1.357344386018951E-4"/>
    <n v="5.3063175966908864E-4"/>
  </r>
  <r>
    <s v="DIY"/>
    <x v="4"/>
    <s v="Строительство и ремонт"/>
    <s v="Электротовары"/>
    <s v="Сетевые адаптеры"/>
    <s v="Сетевые адаптеры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BEAUTY&amp;HEALTH&amp; PHARMA"/>
    <x v="2"/>
    <s v="Уход"/>
    <s v="Уход за кожей лица"/>
    <s v="Сыворотки"/>
    <s v="Сыворотки для лица"/>
    <m/>
    <x v="0"/>
    <x v="1"/>
    <s v="да"/>
    <n v="21"/>
    <n v="2"/>
    <n v="23"/>
    <n v="18"/>
    <n v="2"/>
    <n v="20"/>
    <n v="-3"/>
    <n v="0"/>
    <n v="-3"/>
    <n v="419"/>
    <n v="2654883.1000000006"/>
    <n v="3619"/>
    <n v="8.5808154398919652E-3"/>
    <n v="6.5541171953666611E-3"/>
  </r>
  <r>
    <s v="FOODZOO"/>
    <x v="2"/>
    <s v="Бытовая химия"/>
    <s v="Средства для сантехники"/>
    <s v="Дезинфицирующие средства для сантехники"/>
    <s v="Дезинфицирующие средства для сантехни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5"/>
    <s v="Бытовая техника и Электроника"/>
    <s v="Потребительская электроника"/>
    <s v="Аксессуары для телевизоров"/>
    <s v="Кронштейны для телевизоров"/>
    <m/>
    <x v="0"/>
    <x v="0"/>
    <s v="да"/>
    <n v="3"/>
    <n v="0"/>
    <n v="3"/>
    <n v="0"/>
    <n v="0"/>
    <n v="0"/>
    <n v="-3"/>
    <n v="0"/>
    <n v="-3"/>
    <n v="5"/>
    <n v="15192.1"/>
    <n v="18"/>
    <n v="4.9102201993143395E-5"/>
    <n v="3.259853813666756E-5"/>
  </r>
  <r>
    <s v="DIY"/>
    <x v="5"/>
    <s v="Бытовая техника и Электроника"/>
    <s v="Потребительская электроника"/>
    <s v="Фото и видеотехника"/>
    <s v="Хранение и переноска"/>
    <m/>
    <x v="0"/>
    <x v="0"/>
    <s v="да"/>
    <n v="3"/>
    <n v="0"/>
    <n v="3"/>
    <n v="0"/>
    <n v="0"/>
    <n v="0"/>
    <n v="-3"/>
    <n v="0"/>
    <n v="-3"/>
    <n v="0"/>
    <n v="0"/>
    <n v="0"/>
    <n v="0"/>
    <n v="0"/>
  </r>
  <r>
    <s v="DIY"/>
    <x v="4"/>
    <s v="Автомобильные товары и запчасти"/>
    <s v="Автомобильные товары"/>
    <s v="Автоаккумуляторы и зарядные устройства для автомобилей"/>
    <s v="Аккумуляторы и зарядные устройства"/>
    <m/>
    <x v="0"/>
    <x v="0"/>
    <s v="да"/>
    <n v="6"/>
    <n v="0"/>
    <n v="6"/>
    <n v="3"/>
    <n v="0"/>
    <n v="3"/>
    <n v="-3"/>
    <n v="0"/>
    <n v="-3"/>
    <n v="6"/>
    <n v="26893.689999999995"/>
    <n v="18"/>
    <n v="8.6922768986577248E-5"/>
    <n v="3.259853813666756E-5"/>
  </r>
  <r>
    <s v="DIY"/>
    <x v="4"/>
    <s v="Автомобильные товары и запчасти"/>
    <s v="Автомобильные товары"/>
    <s v="Автоинструмент"/>
    <s v="Инструмент общего назначения в чемодане"/>
    <m/>
    <x v="0"/>
    <x v="0"/>
    <s v="да"/>
    <n v="3"/>
    <n v="0"/>
    <n v="3"/>
    <n v="0"/>
    <n v="0"/>
    <n v="0"/>
    <n v="-3"/>
    <n v="0"/>
    <n v="-3"/>
    <n v="0"/>
    <n v="0"/>
    <n v="0"/>
    <n v="0"/>
    <n v="0"/>
  </r>
  <r>
    <s v="FOODZOO"/>
    <x v="2"/>
    <s v="Продукция для животных"/>
    <s v="Корма и лакомства для собак"/>
    <s v="Сухие корма для собак"/>
    <s v="Сухие корма для щенков мелких и миниатюрных пород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Освежители воздуха"/>
    <s v="Интерьерные освежители воздуха"/>
    <s v="Поглотители д/холодильников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Детская гигиена и уход"/>
    <s v="Детская гигиена"/>
    <s v="Прочее"/>
    <s v="Прочая детская гигиена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Мебель"/>
    <s v="Хранение вещей и одежды и организация порядка"/>
    <s v="Хранение вещей и одежды"/>
    <s v="Чехлы и кофры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ня и сауна"/>
    <s v="Шапка для бани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Прочие средства для розжига"/>
    <m/>
    <x v="1"/>
    <x v="1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Гигиена"/>
    <s v="Влажные салфетки"/>
    <s v="Влажные салфетки для личной гигиены"/>
    <s v="Влажные салфетки антибактериальные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Товары для дома"/>
    <s v="Приготовление пищи"/>
    <s v="Консервирование"/>
    <s v="Банки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Средства для розжига, уголь, дрова"/>
    <s v="Уголь"/>
    <m/>
    <x v="1"/>
    <x v="1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Бытовая химия"/>
    <s v="Средства для уборки"/>
    <s v="Чистящие средства"/>
    <s v="Абразивные чистящие порош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Праздничные и сезонные товары"/>
    <s v="Товары для летнего отдыха"/>
    <s v="Барбекю, грили, коптильни, аксессуары"/>
    <s v="Наборы для барбекю"/>
    <m/>
    <x v="1"/>
    <x v="1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раздничные и сезонные товары"/>
    <s v="Товары для летнего отдыха"/>
    <s v="Товары для консервирования"/>
    <s v="Наклейки на банки для консервирования"/>
    <m/>
    <x v="1"/>
    <x v="2"/>
    <s v="да"/>
    <n v="0"/>
    <n v="0"/>
    <n v="0"/>
    <n v="0"/>
    <n v="0"/>
    <n v="0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Картины из ниток (стринг арт)"/>
    <m/>
    <x v="0"/>
    <x v="0"/>
    <s v="да"/>
    <n v="3"/>
    <n v="0"/>
    <n v="3"/>
    <n v="0"/>
    <n v="0"/>
    <n v="0"/>
    <n v="-3"/>
    <n v="0"/>
    <n v="-3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Эбру"/>
    <m/>
    <x v="0"/>
    <x v="0"/>
    <s v="да"/>
    <n v="3"/>
    <n v="0"/>
    <n v="3"/>
    <n v="0"/>
    <n v="0"/>
    <n v="0"/>
    <n v="-3"/>
    <n v="0"/>
    <n v="-3"/>
    <n v="0"/>
    <n v="0"/>
    <n v="0"/>
    <n v="0"/>
    <n v="0"/>
  </r>
  <r>
    <s v="HOBBIES&amp;SCHOOL"/>
    <x v="1"/>
    <s v="Книги, хобби, канцелярия"/>
    <s v="Книги"/>
    <s v="Детская художественная литература"/>
    <s v="Детская художественная литература"/>
    <m/>
    <x v="0"/>
    <x v="0"/>
    <s v="да"/>
    <n v="18"/>
    <n v="2"/>
    <n v="20"/>
    <n v="15"/>
    <n v="2"/>
    <n v="17"/>
    <n v="-3"/>
    <n v="0"/>
    <n v="-3"/>
    <n v="81"/>
    <n v="145644.06000000003"/>
    <n v="276"/>
    <n v="4.7073439835318995E-4"/>
    <n v="4.9984425142890259E-4"/>
  </r>
  <r>
    <s v="HOBBIES&amp;SCHOOL"/>
    <x v="1"/>
    <s v="Книги, хобби, канцелярия"/>
    <s v="Книги"/>
    <s v="Книги для детей и родителей"/>
    <s v="Познавательная литература"/>
    <m/>
    <x v="0"/>
    <x v="0"/>
    <s v="да"/>
    <n v="3"/>
    <n v="0"/>
    <n v="3"/>
    <n v="0"/>
    <n v="0"/>
    <n v="0"/>
    <n v="-3"/>
    <n v="0"/>
    <n v="-3"/>
    <n v="1"/>
    <n v="728.97"/>
    <n v="4"/>
    <n v="2.3560950880353435E-6"/>
    <n v="7.2441195859261247E-6"/>
  </r>
  <r>
    <s v="FOODZOO"/>
    <x v="2"/>
    <s v="Гигиена"/>
    <s v="Средства личной гигиены"/>
    <s v="Антисептики"/>
    <s v="Антисептики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FOODZOO"/>
    <x v="2"/>
    <s v="Табачные изделия"/>
    <s v="Стики"/>
    <s v="Стики"/>
    <s v="Стики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FOODZOO"/>
    <x v="2"/>
    <s v="Детская гигиена и уход"/>
    <s v="Уход за детьми"/>
    <s v="Наборы подарочные детские"/>
    <s v="Наборы подарочные детские косметические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HOUSEHOLD"/>
    <x v="4"/>
    <s v="Посуда и кухонные принадлежности"/>
    <s v="Фильтры для воды кухонные"/>
    <s v="Фильтры-кувшины"/>
    <s v="Сменные блоки для фильтров-кувшинов"/>
    <m/>
    <x v="0"/>
    <x v="0"/>
    <s v="да"/>
    <n v="13"/>
    <n v="0"/>
    <n v="13"/>
    <n v="10"/>
    <n v="0"/>
    <n v="10"/>
    <n v="-3"/>
    <n v="0"/>
    <n v="-3"/>
    <n v="0"/>
    <n v="0"/>
    <n v="0"/>
    <n v="0"/>
    <n v="0"/>
  </r>
  <r>
    <s v="TOYS"/>
    <x v="3"/>
    <s v="Одежда"/>
    <s v="Основная одежда"/>
    <s v="Основная одежда для женщин"/>
    <s v="Брюки женские"/>
    <m/>
    <x v="0"/>
    <x v="1"/>
    <s v="да"/>
    <n v="3"/>
    <n v="0"/>
    <n v="3"/>
    <n v="0"/>
    <n v="0"/>
    <n v="0"/>
    <n v="-3"/>
    <n v="0"/>
    <n v="-3"/>
    <n v="831"/>
    <n v="1489660.4200000004"/>
    <n v="1636"/>
    <n v="4.814713360498604E-3"/>
    <n v="2.9628449106437848E-3"/>
  </r>
  <r>
    <s v="FOODZOO"/>
    <x v="2"/>
    <s v="Продукция для животных"/>
    <s v="Корма и лакомства для кошек"/>
    <s v="Влажные корма для кошек и котят"/>
    <s v="Влажные корма для котят"/>
    <m/>
    <x v="1"/>
    <x v="0"/>
    <s v="да"/>
    <n v="0"/>
    <n v="0"/>
    <n v="0"/>
    <n v="0"/>
    <n v="0"/>
    <n v="0"/>
    <n v="0"/>
    <n v="0"/>
    <n v="0"/>
    <n v="0"/>
    <n v="0"/>
    <n v="0"/>
    <n v="0"/>
    <n v="0"/>
  </r>
  <r>
    <s v="DIY"/>
    <x v="4"/>
    <s v="Мебель"/>
    <s v="Мягкая мебель и товары для сна"/>
    <s v="Пуфы, банкетки и оттоманки"/>
    <s v="Пуфы и банкетки"/>
    <m/>
    <x v="1"/>
    <x v="0"/>
    <s v="нет"/>
    <n v="0"/>
    <n v="0"/>
    <n v="0"/>
    <n v="0"/>
    <n v="0"/>
    <n v="0"/>
    <n v="0"/>
    <n v="0"/>
    <n v="0"/>
    <n v="0"/>
    <n v="0"/>
    <n v="0"/>
    <n v="0"/>
    <n v="0"/>
  </r>
  <r>
    <s v="TOYS"/>
    <x v="3"/>
    <s v="Аксессуары"/>
    <s v="Сумки и рюкзаки"/>
    <s v="Сумки для мужчин"/>
    <s v="Сумка мужская"/>
    <m/>
    <x v="0"/>
    <x v="1"/>
    <s v="да"/>
    <n v="3"/>
    <n v="0"/>
    <n v="3"/>
    <n v="0"/>
    <n v="0"/>
    <n v="0"/>
    <n v="-3"/>
    <n v="0"/>
    <n v="-3"/>
    <n v="163"/>
    <n v="684178.13"/>
    <n v="314"/>
    <n v="2.2113238287367197E-3"/>
    <n v="5.6866338749520082E-4"/>
  </r>
  <r>
    <s v="DIY"/>
    <x v="2"/>
    <s v="Специальное питание"/>
    <s v="Спортивное питание"/>
    <s v="Готовое спортивное питание"/>
    <s v="Печенье спортивное"/>
    <m/>
    <x v="1"/>
    <x v="0"/>
    <s v="да"/>
    <n v="11"/>
    <n v="0"/>
    <n v="11"/>
    <n v="10"/>
    <n v="0"/>
    <n v="10"/>
    <n v="-1"/>
    <n v="0"/>
    <n v="-1"/>
    <n v="0"/>
    <n v="0"/>
    <n v="0"/>
    <n v="0"/>
    <n v="0"/>
  </r>
  <r>
    <s v="HOUSEHOLD"/>
    <x v="4"/>
    <s v="Товары для дома"/>
    <s v="Порядок в доме и уборка"/>
    <s v="Мусорные ведра и контейнеры"/>
    <s v="Мусорные ведра, баки, контейнеры, урны, корзины для мусора"/>
    <m/>
    <x v="0"/>
    <x v="0"/>
    <s v="да"/>
    <n v="6"/>
    <n v="1"/>
    <n v="7"/>
    <n v="4"/>
    <n v="0"/>
    <n v="4"/>
    <n v="-2"/>
    <n v="-1"/>
    <n v="-3"/>
    <n v="33"/>
    <n v="194917.25"/>
    <n v="196"/>
    <n v="6.2998967762508339E-4"/>
    <n v="3.5496185971038008E-4"/>
  </r>
  <r>
    <s v="TOYS"/>
    <x v="1"/>
    <s v="Детские товары"/>
    <s v="Игры и игрушки"/>
    <s v="Игрушки для всех"/>
    <s v="Роботы и трансформеры"/>
    <m/>
    <x v="0"/>
    <x v="1"/>
    <s v="да"/>
    <n v="2"/>
    <n v="1"/>
    <n v="3"/>
    <n v="0"/>
    <n v="0"/>
    <n v="0"/>
    <n v="-2"/>
    <n v="-1"/>
    <n v="-3"/>
    <n v="20"/>
    <n v="97266.59"/>
    <n v="168"/>
    <n v="3.1437416482015397E-4"/>
    <n v="3.0425302260889722E-4"/>
  </r>
  <r>
    <s v="TOYS"/>
    <x v="3"/>
    <s v="Аксессуары"/>
    <s v="Сумки и рюкзаки"/>
    <s v="Рюкзаки для женщин"/>
    <s v="Рюкзак женский"/>
    <m/>
    <x v="0"/>
    <x v="1"/>
    <s v="да"/>
    <n v="2"/>
    <n v="1"/>
    <n v="3"/>
    <n v="0"/>
    <n v="0"/>
    <n v="0"/>
    <n v="-2"/>
    <n v="-1"/>
    <n v="-3"/>
    <n v="126"/>
    <n v="1102203.8999999999"/>
    <n v="973"/>
    <n v="3.5624198455401438E-3"/>
    <n v="1.7621320892765298E-3"/>
  </r>
  <r>
    <s v="TOYS"/>
    <x v="3"/>
    <s v="Аксессуары"/>
    <s v="Аксессуары прочие"/>
    <s v="Кошельки и картхолдеры"/>
    <s v="Картхолдер"/>
    <m/>
    <x v="0"/>
    <x v="1"/>
    <s v="да"/>
    <n v="1"/>
    <n v="2"/>
    <n v="3"/>
    <n v="0"/>
    <n v="0"/>
    <n v="0"/>
    <n v="-1"/>
    <n v="-2"/>
    <n v="-3"/>
    <n v="17"/>
    <n v="52858.69000000001"/>
    <n v="48"/>
    <n v="1.7084393029751971E-4"/>
    <n v="8.6929435031113489E-5"/>
  </r>
  <r>
    <s v="BEAUTY&amp;HEALTH&amp; PHARMA"/>
    <x v="2"/>
    <s v="Уход"/>
    <s v="Аксессуары для ухода"/>
    <s v="Аксессуары для лица и тела"/>
    <s v="Аксессуары для умывания"/>
    <m/>
    <x v="0"/>
    <x v="0"/>
    <s v="да"/>
    <n v="0"/>
    <n v="3"/>
    <n v="3"/>
    <n v="0"/>
    <n v="3"/>
    <n v="3"/>
    <n v="0"/>
    <n v="0"/>
    <n v="0"/>
    <n v="12"/>
    <n v="42212.99"/>
    <n v="529"/>
    <n v="1.3643609255564024E-4"/>
    <n v="9.5803481523873001E-4"/>
  </r>
  <r>
    <s v="TOYS"/>
    <x v="3"/>
    <s v="Аксессуары"/>
    <s v="Бижутерия"/>
    <s v="Бижутерия для женщин"/>
    <s v="Кольцо бижутерное женское"/>
    <m/>
    <x v="0"/>
    <x v="1"/>
    <s v="да"/>
    <n v="0"/>
    <n v="3"/>
    <n v="3"/>
    <n v="0"/>
    <n v="0"/>
    <n v="0"/>
    <n v="0"/>
    <n v="-3"/>
    <n v="-3"/>
    <n v="39"/>
    <n v="37294.160000000003"/>
    <n v="467"/>
    <n v="1.2053800182230296E-4"/>
    <n v="8.4575096165687505E-4"/>
  </r>
  <r>
    <s v="BEAUTY&amp;HEALTH&amp; PHARMA"/>
    <x v="0"/>
    <s v="Бады и Витамины"/>
    <s v="Бады"/>
    <s v="Бады для ЖКТ"/>
    <s v="Бады для ЖКТ"/>
    <m/>
    <x v="0"/>
    <x v="0"/>
    <s v="да"/>
    <n v="6"/>
    <n v="0"/>
    <n v="6"/>
    <n v="2"/>
    <n v="0"/>
    <n v="2"/>
    <n v="-4"/>
    <n v="0"/>
    <n v="-4"/>
    <n v="0"/>
    <n v="0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менее 0,8л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BEAUTY&amp;HEALTH&amp; PHARMA"/>
    <x v="0"/>
    <s v="Товары для взрослых"/>
    <s v="Секс-игрушки"/>
    <s v="Вибраторы"/>
    <s v="Классические вибраторы"/>
    <m/>
    <x v="0"/>
    <x v="0"/>
    <s v="да"/>
    <n v="8"/>
    <n v="0"/>
    <n v="8"/>
    <n v="4"/>
    <n v="0"/>
    <n v="4"/>
    <n v="-4"/>
    <n v="0"/>
    <n v="-4"/>
    <n v="136"/>
    <n v="897498.20999999985"/>
    <n v="508"/>
    <n v="2.9007930698129042E-3"/>
    <n v="9.2000318741261783E-4"/>
  </r>
  <r>
    <s v="DIY"/>
    <x v="5"/>
    <s v="Бытовая техника и Электроника"/>
    <s v="Климатическая техника"/>
    <s v="Системы очистки и обработки воздуха"/>
    <s v="Воздухоочиститель"/>
    <m/>
    <x v="0"/>
    <x v="0"/>
    <s v="да"/>
    <n v="6"/>
    <n v="0"/>
    <n v="6"/>
    <n v="2"/>
    <n v="0"/>
    <n v="2"/>
    <n v="-4"/>
    <n v="0"/>
    <n v="-4"/>
    <n v="1"/>
    <n v="4268"/>
    <n v="2"/>
    <n v="1.3794550990760725E-5"/>
    <n v="3.6220597929630623E-6"/>
  </r>
  <r>
    <s v="DIY"/>
    <x v="5"/>
    <s v="Бытовая техника и Электроника"/>
    <s v="Малая бытовая техника"/>
    <s v="Техника для дома"/>
    <s v="Пылесосы с контейнером для пыли"/>
    <m/>
    <x v="0"/>
    <x v="0"/>
    <s v="да"/>
    <n v="6"/>
    <n v="0"/>
    <n v="6"/>
    <n v="2"/>
    <n v="0"/>
    <n v="2"/>
    <n v="-4"/>
    <n v="0"/>
    <n v="-4"/>
    <n v="16"/>
    <n v="485036.22"/>
    <n v="48"/>
    <n v="1.5676796788087713E-3"/>
    <n v="8.6929435031113489E-5"/>
  </r>
  <r>
    <s v="DIY"/>
    <x v="5"/>
    <s v="Бытовая техника и Электроника"/>
    <s v="Малая бытовая техника"/>
    <s v="Техника для приготовления кофе"/>
    <s v="Электрическая турка"/>
    <m/>
    <x v="0"/>
    <x v="0"/>
    <s v="да"/>
    <n v="4"/>
    <n v="0"/>
    <n v="4"/>
    <n v="0"/>
    <n v="0"/>
    <n v="0"/>
    <n v="-4"/>
    <n v="0"/>
    <n v="-4"/>
    <n v="1"/>
    <n v="11730.85"/>
    <n v="14"/>
    <n v="3.7915137884246825E-5"/>
    <n v="2.5354418550741437E-5"/>
  </r>
  <r>
    <s v="DIY"/>
    <x v="4"/>
    <s v="Автомобильные товары и запчасти"/>
    <s v="Автомобильные товары"/>
    <s v="Авто свет и лампы"/>
    <s v="Автомобильные лампы"/>
    <m/>
    <x v="0"/>
    <x v="0"/>
    <s v="да"/>
    <n v="4"/>
    <n v="0"/>
    <n v="4"/>
    <n v="0"/>
    <n v="0"/>
    <n v="0"/>
    <n v="-4"/>
    <n v="0"/>
    <n v="-4"/>
    <n v="4"/>
    <n v="4354"/>
    <n v="9"/>
    <n v="1.4072510546806981E-5"/>
    <n v="1.629926906833378E-5"/>
  </r>
  <r>
    <s v="DIY"/>
    <x v="4"/>
    <s v="Автомобильные товары и запчасти"/>
    <s v="Автомобильные товары"/>
    <s v="Автоинструмент"/>
    <s v="Диагностическое оборудование для автомобилей"/>
    <m/>
    <x v="0"/>
    <x v="0"/>
    <s v="да"/>
    <n v="4"/>
    <n v="0"/>
    <n v="4"/>
    <n v="0"/>
    <n v="0"/>
    <n v="0"/>
    <n v="-4"/>
    <n v="0"/>
    <n v="-4"/>
    <n v="1"/>
    <n v="521"/>
    <n v="2"/>
    <n v="1.6839177755825534E-6"/>
    <n v="3.6220597929630623E-6"/>
  </r>
  <r>
    <s v="DIY"/>
    <x v="4"/>
    <s v="Автомобильные товары и запчасти"/>
    <s v="Масла, технические жидкости"/>
    <s v="Масло моторное"/>
    <s v="Масло моторное"/>
    <m/>
    <x v="0"/>
    <x v="0"/>
    <s v="да"/>
    <n v="4"/>
    <n v="0"/>
    <n v="4"/>
    <n v="0"/>
    <n v="0"/>
    <n v="0"/>
    <n v="-4"/>
    <n v="0"/>
    <n v="-4"/>
    <n v="0"/>
    <n v="0"/>
    <n v="0"/>
    <n v="0"/>
    <n v="0"/>
  </r>
  <r>
    <s v="DIY"/>
    <x v="6"/>
    <s v="Спорт и активный отдых"/>
    <s v="Тренажеры и фитнес"/>
    <s v="Тренажеры и фитнес"/>
    <s v="Массажное оборудование"/>
    <m/>
    <x v="0"/>
    <x v="0"/>
    <s v="да"/>
    <n v="14"/>
    <n v="1"/>
    <n v="15"/>
    <n v="10"/>
    <n v="1"/>
    <n v="11"/>
    <n v="-4"/>
    <n v="0"/>
    <n v="-4"/>
    <n v="19"/>
    <n v="107180.38999999998"/>
    <n v="41"/>
    <n v="3.4641643745656527E-4"/>
    <n v="7.4252225755742774E-5"/>
  </r>
  <r>
    <s v="DIY"/>
    <x v="5"/>
    <s v="Смартфоны и гаджеты"/>
    <s v="Telecom"/>
    <s v="Планшеты Wi-Fi"/>
    <s v="Планшеты Android"/>
    <m/>
    <x v="0"/>
    <x v="1"/>
    <s v="да"/>
    <n v="9"/>
    <n v="0"/>
    <n v="9"/>
    <n v="5"/>
    <n v="0"/>
    <n v="5"/>
    <n v="-4"/>
    <n v="0"/>
    <n v="-4"/>
    <n v="4"/>
    <n v="81850"/>
    <n v="7"/>
    <n v="2.6454639142309402E-4"/>
    <n v="1.2677209275370719E-5"/>
  </r>
  <r>
    <s v="DIY"/>
    <x v="5"/>
    <s v="Смартфоны и гаджеты"/>
    <s v="Смарт-часы и браслеты"/>
    <s v="Смарт-часы"/>
    <s v="Смарт-часы Other"/>
    <m/>
    <x v="0"/>
    <x v="1"/>
    <s v="да"/>
    <n v="14"/>
    <n v="0"/>
    <n v="14"/>
    <n v="10"/>
    <n v="0"/>
    <n v="10"/>
    <n v="-4"/>
    <n v="0"/>
    <n v="-4"/>
    <n v="2"/>
    <n v="18218.12"/>
    <n v="24"/>
    <n v="5.8882564502295633E-5"/>
    <n v="4.3464717515556745E-5"/>
  </r>
  <r>
    <s v="FOODZOO"/>
    <x v="2"/>
    <s v="Кофе, какао"/>
    <s v="Какао, горячий шоколад"/>
    <s v="Горячий шоколад"/>
    <s v="Горячий шоколад пакетированный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4"/>
    <s v="Праздничные и сезонные товары"/>
    <s v="Средства защиты от насекомых, грызунов и вредителей"/>
    <s v="Средства для борьбы с летающими насекомыми"/>
    <s v="Средства от моли"/>
    <m/>
    <x v="1"/>
    <x v="0"/>
    <s v="да"/>
    <n v="1"/>
    <n v="0"/>
    <n v="1"/>
    <n v="0"/>
    <n v="0"/>
    <n v="0"/>
    <n v="-1"/>
    <n v="0"/>
    <n v="-1"/>
    <n v="0"/>
    <n v="0"/>
    <n v="0"/>
    <n v="0"/>
    <n v="0"/>
  </r>
  <r>
    <s v="FOODZOO"/>
    <x v="2"/>
    <s v="Кондитерские изделия"/>
    <s v="Шоколад"/>
    <s v="Шоколад плиточный"/>
    <s v="Шоколад темный, горький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Кондитерские изделия"/>
    <s v="Современные кондитерские изделия"/>
    <s v="Шоколад фигурный"/>
    <s v="Шоколадный фигурный прочий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Кондитерские изделия"/>
    <s v="Пасты кондитерские"/>
    <s v="Пасты кондитерские"/>
    <s v="Пасты ореховые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Вязание"/>
    <m/>
    <x v="0"/>
    <x v="0"/>
    <s v="да"/>
    <n v="4"/>
    <n v="0"/>
    <n v="4"/>
    <n v="0"/>
    <n v="0"/>
    <n v="0"/>
    <n v="-4"/>
    <n v="0"/>
    <n v="-4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Создание украшений"/>
    <m/>
    <x v="0"/>
    <x v="0"/>
    <s v="да"/>
    <n v="7"/>
    <n v="0"/>
    <n v="7"/>
    <n v="3"/>
    <n v="0"/>
    <n v="3"/>
    <n v="-4"/>
    <n v="0"/>
    <n v="-4"/>
    <n v="25"/>
    <n v="28508.839999999997"/>
    <n v="63"/>
    <n v="9.2143075695276221E-5"/>
    <n v="1.1409488347833646E-4"/>
  </r>
  <r>
    <s v="HOBBIES&amp;SCHOOL"/>
    <x v="1"/>
    <s v="Книги, хобби, канцелярия"/>
    <s v="Книги"/>
    <s v="Учебная литература"/>
    <s v="Рабочая тетрадь"/>
    <m/>
    <x v="0"/>
    <x v="1"/>
    <s v="да"/>
    <n v="4"/>
    <n v="0"/>
    <n v="4"/>
    <n v="0"/>
    <n v="0"/>
    <n v="0"/>
    <n v="-4"/>
    <n v="0"/>
    <n v="-4"/>
    <n v="8"/>
    <n v="6989"/>
    <n v="31"/>
    <n v="2.2589062060549835E-5"/>
    <n v="5.6141926790927467E-5"/>
  </r>
  <r>
    <s v="HOBBIES&amp;SCHOOL"/>
    <x v="1"/>
    <s v="Книги, хобби, канцелярия"/>
    <s v="Книги"/>
    <s v="Экономика и бизнес"/>
    <s v="Экономика и бизнес"/>
    <m/>
    <x v="0"/>
    <x v="0"/>
    <s v="да"/>
    <n v="4"/>
    <n v="0"/>
    <n v="4"/>
    <n v="0"/>
    <n v="0"/>
    <n v="0"/>
    <n v="-4"/>
    <n v="0"/>
    <n v="-4"/>
    <n v="12"/>
    <n v="24181.539999999997"/>
    <n v="37"/>
    <n v="7.8156861894358024E-5"/>
    <n v="6.7008106169816651E-5"/>
  </r>
  <r>
    <s v="HOUSEHOLD"/>
    <x v="4"/>
    <s v="Товары для дома"/>
    <s v="Уход за бельем и одеждой"/>
    <s v="Сушка белья и обуви"/>
    <s v="Сушилка для белья на ванну"/>
    <m/>
    <x v="0"/>
    <x v="0"/>
    <s v="да"/>
    <n v="4"/>
    <n v="0"/>
    <n v="4"/>
    <n v="0"/>
    <n v="0"/>
    <n v="0"/>
    <n v="-4"/>
    <n v="0"/>
    <n v="-4"/>
    <n v="4"/>
    <n v="15361.810000000001"/>
    <n v="18"/>
    <n v="4.9650719624034211E-5"/>
    <n v="3.259853813666756E-5"/>
  </r>
  <r>
    <s v="HOUSEHOLD"/>
    <x v="3"/>
    <s v="Обувь"/>
    <s v="Уход и аксессуары для обуви"/>
    <s v="Аксессуары для ухода за обувью"/>
    <s v="Сушилки для обуви"/>
    <m/>
    <x v="0"/>
    <x v="0"/>
    <s v="да"/>
    <n v="5"/>
    <n v="0"/>
    <n v="5"/>
    <n v="1"/>
    <n v="0"/>
    <n v="1"/>
    <n v="-4"/>
    <n v="0"/>
    <n v="-4"/>
    <n v="0"/>
    <n v="0"/>
    <n v="0"/>
    <n v="0"/>
    <n v="0"/>
  </r>
  <r>
    <s v="TOYS"/>
    <x v="6"/>
    <s v="Спорт и активный отдых"/>
    <s v="Тренажеры и фитнес"/>
    <s v="Тренажеры и фитнес"/>
    <s v="Компрессионное белье"/>
    <m/>
    <x v="0"/>
    <x v="0"/>
    <s v="да"/>
    <n v="4"/>
    <n v="0"/>
    <n v="4"/>
    <n v="0"/>
    <n v="0"/>
    <n v="0"/>
    <n v="-4"/>
    <n v="0"/>
    <n v="-4"/>
    <n v="22"/>
    <n v="64096.07"/>
    <n v="35"/>
    <n v="2.0716412978499736E-4"/>
    <n v="6.338604637685359E-5"/>
  </r>
  <r>
    <s v="FOODZOO"/>
    <x v="2"/>
    <s v="Кондитерские изделия"/>
    <s v="Пасты кондитерские"/>
    <s v="Пасты кондитерские"/>
    <s v="Пасты шоколадные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спорта и фитнеса"/>
    <s v="Бады для спорта и фитнеса"/>
    <m/>
    <x v="0"/>
    <x v="0"/>
    <s v="да"/>
    <n v="8"/>
    <n v="1"/>
    <n v="9"/>
    <n v="5"/>
    <n v="0"/>
    <n v="5"/>
    <n v="-3"/>
    <n v="-1"/>
    <n v="-4"/>
    <n v="371"/>
    <n v="4092395.0799999996"/>
    <n v="4688"/>
    <n v="1.3226980460496323E-2"/>
    <n v="8.4901081547054183E-3"/>
  </r>
  <r>
    <s v="DIY"/>
    <x v="5"/>
    <s v="Бытовая техника и Электроника"/>
    <s v="Малая бытовая техника"/>
    <s v="Техника для кухни"/>
    <s v="Прочая техника для кухни"/>
    <m/>
    <x v="0"/>
    <x v="0"/>
    <s v="да"/>
    <n v="13"/>
    <n v="1"/>
    <n v="14"/>
    <n v="10"/>
    <n v="0"/>
    <n v="10"/>
    <n v="-3"/>
    <n v="-1"/>
    <n v="-4"/>
    <n v="11"/>
    <n v="80689.48000000001"/>
    <n v="26"/>
    <n v="2.6079548881864287E-4"/>
    <n v="4.7086777308519806E-5"/>
  </r>
  <r>
    <s v="TOYS"/>
    <x v="1"/>
    <s v="Детские товары"/>
    <s v="Игры и игрушки"/>
    <s v="Игрушки для мальчиков"/>
    <s v="Игрушечное оружие"/>
    <m/>
    <x v="0"/>
    <x v="1"/>
    <s v="да"/>
    <n v="4"/>
    <n v="1"/>
    <n v="5"/>
    <n v="1"/>
    <n v="0"/>
    <n v="1"/>
    <n v="-3"/>
    <n v="-1"/>
    <n v="-4"/>
    <n v="77"/>
    <n v="288444.48999999987"/>
    <n v="549"/>
    <n v="9.3227793470219544E-4"/>
    <n v="9.9425541316836051E-4"/>
  </r>
  <r>
    <s v="TOYS"/>
    <x v="3"/>
    <s v="Обувь"/>
    <s v="Уход и аксессуары для обуви"/>
    <s v="Аксессуары для ухода за обувью"/>
    <s v="Салфетки для ухода за обувью"/>
    <m/>
    <x v="0"/>
    <x v="1"/>
    <s v="да"/>
    <n v="9"/>
    <n v="1"/>
    <n v="10"/>
    <n v="6"/>
    <n v="0"/>
    <n v="6"/>
    <n v="-3"/>
    <n v="-1"/>
    <n v="-4"/>
    <n v="1"/>
    <n v="16815.03"/>
    <n v="47"/>
    <n v="5.4347654345400956E-5"/>
    <n v="8.5118405134631959E-5"/>
  </r>
  <r>
    <s v="DIY"/>
    <x v="5"/>
    <s v="Бытовая техника и Электроника"/>
    <s v="Малая бытовая техника"/>
    <s v="Техника для красоты и здоровья"/>
    <s v="Машинки для стрижки и триммеры"/>
    <m/>
    <x v="0"/>
    <x v="1"/>
    <s v="да"/>
    <n v="11"/>
    <n v="1"/>
    <n v="12"/>
    <n v="6"/>
    <n v="1"/>
    <n v="7"/>
    <n v="-5"/>
    <n v="0"/>
    <n v="-5"/>
    <n v="15"/>
    <n v="95662.85"/>
    <n v="56"/>
    <n v="3.0919073623394906E-4"/>
    <n v="1.0141767420296575E-4"/>
  </r>
  <r>
    <s v="DIY"/>
    <x v="5"/>
    <s v="Бытовая техника и Электроника"/>
    <s v="Малая бытовая техника"/>
    <s v="Техника для красоты и здоровья"/>
    <s v="Электробритва"/>
    <m/>
    <x v="0"/>
    <x v="1"/>
    <s v="да"/>
    <n v="10"/>
    <n v="1"/>
    <n v="11"/>
    <n v="5"/>
    <n v="1"/>
    <n v="6"/>
    <n v="-5"/>
    <n v="0"/>
    <n v="-5"/>
    <n v="9"/>
    <n v="86800"/>
    <n v="28"/>
    <n v="2.8054522633505876E-4"/>
    <n v="5.0708837101482874E-5"/>
  </r>
  <r>
    <s v="DIY"/>
    <x v="5"/>
    <s v="Компьютеры и аксессуары"/>
    <s v="Элементы питания"/>
    <s v="Аккумуляторы, зарядные устройства"/>
    <s v="Наборы аккумуляторов и зарядных устройств"/>
    <m/>
    <x v="0"/>
    <x v="0"/>
    <s v="да"/>
    <n v="7"/>
    <n v="0"/>
    <n v="7"/>
    <n v="2"/>
    <n v="0"/>
    <n v="2"/>
    <n v="-5"/>
    <n v="0"/>
    <n v="-5"/>
    <n v="1"/>
    <n v="2651"/>
    <n v="1"/>
    <n v="8.5682649195189035E-6"/>
    <n v="1.8110298964815312E-6"/>
  </r>
  <r>
    <s v="FOODZOO"/>
    <x v="2"/>
    <s v="Кондитерские изделия"/>
    <s v="Восточные сладости"/>
    <s v="Восточные сладости"/>
    <s v="Козинаки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Продукция для животных"/>
    <s v="Корма и лакомства для собак"/>
    <s v="Лакомства для собак"/>
    <s v="Лакомства для взрослых собак всех пород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Продукция для животных"/>
    <s v="Наполнители и уход"/>
    <s v="Наполнители"/>
    <s v="Древесные наполнители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Гигиена"/>
    <s v="Дезодоранты"/>
    <s v="Дезодоранты женские"/>
    <s v="Дезодоранты женские спреи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HOBBIES&amp;SCHOOL"/>
    <x v="1"/>
    <s v="Книги, хобби, канцелярия"/>
    <s v="Хобби"/>
    <s v="Поделки и рукоделие"/>
    <s v="Резьба по дереву"/>
    <m/>
    <x v="0"/>
    <x v="0"/>
    <s v="да"/>
    <n v="5"/>
    <n v="0"/>
    <n v="5"/>
    <n v="0"/>
    <n v="0"/>
    <n v="0"/>
    <n v="-5"/>
    <n v="0"/>
    <n v="-5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Наборы для рисования"/>
    <m/>
    <x v="0"/>
    <x v="0"/>
    <s v="да"/>
    <n v="9"/>
    <n v="0"/>
    <n v="9"/>
    <n v="4"/>
    <n v="0"/>
    <n v="4"/>
    <n v="-5"/>
    <n v="0"/>
    <n v="-5"/>
    <n v="50"/>
    <n v="98266.87000000001"/>
    <n v="233"/>
    <n v="3.1760715766575808E-4"/>
    <n v="4.2196996588019674E-4"/>
  </r>
  <r>
    <s v="HOBBIES&amp;SCHOOL"/>
    <x v="1"/>
    <s v="Книги, хобби, канцелярия"/>
    <s v="Канцелярия"/>
    <s v="Организация рабочего места"/>
    <s v="Ножницы, ножи канцелярские"/>
    <m/>
    <x v="0"/>
    <x v="0"/>
    <s v="да"/>
    <n v="8"/>
    <n v="1"/>
    <n v="9"/>
    <n v="3"/>
    <n v="1"/>
    <n v="4"/>
    <n v="-5"/>
    <n v="0"/>
    <n v="-5"/>
    <n v="18"/>
    <n v="23606.06"/>
    <n v="150"/>
    <n v="7.629685997210804E-5"/>
    <n v="2.7165448447222967E-4"/>
  </r>
  <r>
    <s v="FOODZOO"/>
    <x v="2"/>
    <s v="Снэки"/>
    <s v="Орехи и сухофрукты"/>
    <s v="Орехи"/>
    <s v="Грецкий орех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Снэки"/>
    <s v="Орехи и сухофрукты"/>
    <s v="Орехи"/>
    <s v="Кедровый орех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TOYS"/>
    <x v="1"/>
    <s v="Детские товары"/>
    <s v="Игры и игрушки"/>
    <s v="Настольные игры детские"/>
    <s v="Настольные игры детские"/>
    <m/>
    <x v="0"/>
    <x v="1"/>
    <s v="да"/>
    <n v="10"/>
    <n v="1"/>
    <n v="11"/>
    <n v="6"/>
    <n v="0"/>
    <n v="6"/>
    <n v="-4"/>
    <n v="-1"/>
    <n v="-5"/>
    <n v="252"/>
    <n v="682773.05999999994"/>
    <n v="1237"/>
    <n v="2.2067825190458601E-3"/>
    <n v="2.2402439819476541E-3"/>
  </r>
  <r>
    <s v="TOYS"/>
    <x v="6"/>
    <s v="Спорт и активный отдых"/>
    <s v="Тренажеры и фитнес"/>
    <s v="Тренажеры и фитнес"/>
    <s v="Бандажи, суппорты, тейпы и эластичные бинты"/>
    <m/>
    <x v="0"/>
    <x v="0"/>
    <s v="да"/>
    <n v="4"/>
    <n v="1"/>
    <n v="5"/>
    <n v="0"/>
    <n v="0"/>
    <n v="0"/>
    <n v="-4"/>
    <n v="-1"/>
    <n v="-5"/>
    <n v="7"/>
    <n v="18708.43"/>
    <n v="79"/>
    <n v="6.0467289501424009E-5"/>
    <n v="1.4307136182204096E-4"/>
  </r>
  <r>
    <s v="HOBBIES&amp;SCHOOL"/>
    <x v="1"/>
    <s v="Книги, хобби, канцелярия"/>
    <s v="Хобби"/>
    <s v="Поделки и рукоделие"/>
    <s v="Шитье"/>
    <m/>
    <x v="0"/>
    <x v="0"/>
    <s v="да"/>
    <n v="4"/>
    <n v="2"/>
    <n v="6"/>
    <n v="1"/>
    <n v="0"/>
    <n v="1"/>
    <n v="-3"/>
    <n v="-2"/>
    <n v="-5"/>
    <n v="16"/>
    <n v="5757"/>
    <n v="26"/>
    <n v="1.8607129815794165E-5"/>
    <n v="4.7086777308519806E-5"/>
  </r>
  <r>
    <s v="HOBBIES&amp;SCHOOL"/>
    <x v="1"/>
    <s v="Книги, хобби, канцелярия"/>
    <s v="Канцелярия"/>
    <s v="Организация рабочего места"/>
    <s v="Точилки"/>
    <m/>
    <x v="0"/>
    <x v="1"/>
    <s v="да"/>
    <n v="5"/>
    <n v="3"/>
    <n v="8"/>
    <n v="3"/>
    <n v="0"/>
    <n v="3"/>
    <n v="-2"/>
    <n v="-3"/>
    <n v="-5"/>
    <n v="14"/>
    <n v="36486.25"/>
    <n v="136"/>
    <n v="1.1792676571852003E-4"/>
    <n v="2.4630006592148824E-4"/>
  </r>
  <r>
    <s v="HOBBIES&amp;SCHOOL"/>
    <x v="1"/>
    <s v="Книги, хобби, канцелярия"/>
    <s v="Канцелярия"/>
    <s v="Организация рабочего места"/>
    <s v="Папки"/>
    <m/>
    <x v="0"/>
    <x v="0"/>
    <s v="да"/>
    <n v="2"/>
    <n v="5"/>
    <n v="7"/>
    <n v="2"/>
    <n v="0"/>
    <n v="2"/>
    <n v="0"/>
    <n v="-5"/>
    <n v="-5"/>
    <n v="15"/>
    <n v="16780"/>
    <n v="102"/>
    <n v="5.4234434307630023E-5"/>
    <n v="1.8472504944111616E-4"/>
  </r>
  <r>
    <s v="FOODZOO"/>
    <x v="2"/>
    <s v="Снэки"/>
    <s v="Орехи и сухофрукты"/>
    <s v="Орехи"/>
    <s v="Кешью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дома"/>
    <s v="Парогенераторы"/>
    <m/>
    <x v="0"/>
    <x v="0"/>
    <s v="да"/>
    <n v="7"/>
    <n v="0"/>
    <n v="7"/>
    <n v="1"/>
    <n v="0"/>
    <n v="1"/>
    <n v="-6"/>
    <n v="0"/>
    <n v="-6"/>
    <n v="8"/>
    <n v="106371"/>
    <n v="15"/>
    <n v="3.438004178627481E-4"/>
    <n v="2.7165448447222968E-5"/>
  </r>
  <r>
    <s v="FOODZOO"/>
    <x v="2"/>
    <s v="Снэки"/>
    <s v="Орехи и сухофрукты"/>
    <s v="Орехи"/>
    <s v="Миндаль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7"/>
    <s v="Молочная продукция"/>
    <s v="Масло и маргарин"/>
    <s v="Масло коровье"/>
    <s v="Масло топленое"/>
    <m/>
    <x v="1"/>
    <x v="0"/>
    <s v="да"/>
    <n v="1"/>
    <n v="0"/>
    <n v="1"/>
    <n v="0"/>
    <n v="0"/>
    <n v="0"/>
    <n v="-1"/>
    <n v="0"/>
    <n v="-1"/>
    <n v="0"/>
    <n v="0"/>
    <n v="0"/>
    <n v="0"/>
    <n v="0"/>
  </r>
  <r>
    <s v="FOODZOO"/>
    <x v="2"/>
    <s v="Бакалея"/>
    <s v="Ингредиенты для готовки"/>
    <s v="Пищевые кислоты"/>
    <s v="Уксус яблочный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FOODZOO"/>
    <x v="2"/>
    <s v="Бакалея"/>
    <s v="Соусы"/>
    <s v="Соусы прочие"/>
    <s v="Соусы на плодово-ягодной основе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HOBBIES&amp;SCHOOL"/>
    <x v="4"/>
    <s v="Строительство и ремонт"/>
    <s v="Строительные материалы"/>
    <s v="Сухие смеси"/>
    <s v="Сухие смеси"/>
    <m/>
    <x v="1"/>
    <x v="0"/>
    <s v="да"/>
    <n v="1"/>
    <n v="0"/>
    <n v="1"/>
    <n v="0"/>
    <n v="0"/>
    <n v="0"/>
    <n v="-1"/>
    <n v="0"/>
    <n v="-1"/>
    <n v="0"/>
    <n v="0"/>
    <n v="0"/>
    <n v="0"/>
    <n v="0"/>
  </r>
  <r>
    <s v="HOUSEHOLD"/>
    <x v="4"/>
    <s v="Товары для дома"/>
    <s v="Текстиль для спальни"/>
    <s v="Постельное белье"/>
    <s v="Держатель для простыней"/>
    <m/>
    <x v="1"/>
    <x v="0"/>
    <s v="да"/>
    <n v="1"/>
    <n v="0"/>
    <n v="1"/>
    <n v="0"/>
    <n v="0"/>
    <n v="0"/>
    <n v="-1"/>
    <n v="0"/>
    <n v="-1"/>
    <n v="0"/>
    <n v="0"/>
    <n v="0"/>
    <n v="0"/>
    <n v="0"/>
  </r>
  <r>
    <s v="HOBBIES&amp;SCHOOL"/>
    <x v="1"/>
    <s v="Книги, хобби, канцелярия"/>
    <s v="Хобби"/>
    <s v="Настольные игры"/>
    <s v="Азартные игры, рулетка"/>
    <m/>
    <x v="0"/>
    <x v="1"/>
    <s v="да"/>
    <n v="6"/>
    <n v="0"/>
    <n v="6"/>
    <n v="0"/>
    <n v="0"/>
    <n v="0"/>
    <n v="-6"/>
    <n v="0"/>
    <n v="-6"/>
    <n v="4"/>
    <n v="5736.2"/>
    <n v="14"/>
    <n v="1.8539902388285301E-5"/>
    <n v="2.5354418550741437E-5"/>
  </r>
  <r>
    <s v="HOUSEHOLD"/>
    <x v="4"/>
    <s v="Праздничные и сезонные товары"/>
    <s v="Обустройство дачи и сада"/>
    <s v="Садовые ограждения, подставки, опоры для растений"/>
    <s v="Декоративные ограждения"/>
    <m/>
    <x v="1"/>
    <x v="1"/>
    <s v="да"/>
    <n v="1"/>
    <n v="0"/>
    <n v="1"/>
    <n v="0"/>
    <n v="0"/>
    <n v="0"/>
    <n v="-1"/>
    <n v="0"/>
    <n v="-1"/>
    <n v="0"/>
    <n v="0"/>
    <n v="0"/>
    <n v="0"/>
    <n v="0"/>
  </r>
  <r>
    <s v="TOYS"/>
    <x v="1"/>
    <s v="Детские товары"/>
    <s v="Детская комната"/>
    <s v="Безопасность ребенка"/>
    <s v="Безопасность ребенка"/>
    <m/>
    <x v="0"/>
    <x v="0"/>
    <s v="да"/>
    <n v="9"/>
    <n v="0"/>
    <n v="9"/>
    <n v="3"/>
    <n v="0"/>
    <n v="3"/>
    <n v="-6"/>
    <n v="0"/>
    <n v="-6"/>
    <n v="12"/>
    <n v="12077.89"/>
    <n v="28"/>
    <n v="3.9036801655529296E-5"/>
    <n v="5.0708837101482874E-5"/>
  </r>
  <r>
    <s v="TOYS"/>
    <x v="4"/>
    <s v="Бытовая химия"/>
    <s v="Уход за одеждой и обувью"/>
    <s v="Уход за одеждой"/>
    <s v="Антистатики"/>
    <m/>
    <x v="1"/>
    <x v="0"/>
    <s v="да"/>
    <n v="1"/>
    <n v="0"/>
    <n v="1"/>
    <n v="0"/>
    <n v="0"/>
    <n v="0"/>
    <n v="-1"/>
    <n v="0"/>
    <n v="-1"/>
    <n v="0"/>
    <n v="0"/>
    <n v="0"/>
    <n v="0"/>
    <n v="0"/>
  </r>
  <r>
    <s v="TOYS"/>
    <x v="2"/>
    <s v="Детская гигиена и уход"/>
    <s v="Уход за детьми"/>
    <s v="Мыло детское"/>
    <s v="Кусковое детское мыло"/>
    <m/>
    <x v="1"/>
    <x v="0"/>
    <s v="да"/>
    <n v="1"/>
    <n v="0"/>
    <n v="1"/>
    <n v="1"/>
    <n v="0"/>
    <n v="1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малышей"/>
    <s v="Развивающие игрушки"/>
    <m/>
    <x v="0"/>
    <x v="1"/>
    <s v="да"/>
    <n v="10"/>
    <n v="1"/>
    <n v="11"/>
    <n v="5"/>
    <n v="0"/>
    <n v="5"/>
    <n v="-5"/>
    <n v="-1"/>
    <n v="-6"/>
    <n v="377"/>
    <n v="2208074.9799999991"/>
    <n v="2535"/>
    <n v="7.1366923390423975E-3"/>
    <n v="4.5909607875806811E-3"/>
  </r>
  <r>
    <s v="DIY"/>
    <x v="4"/>
    <s v="Автомобильные товары и запчасти"/>
    <s v="Автомобильная электроника"/>
    <s v="Навигаторы, радар-детекторы и регистраторы"/>
    <s v="Видеорегистраторы"/>
    <m/>
    <x v="0"/>
    <x v="0"/>
    <s v="да"/>
    <n v="12"/>
    <n v="0"/>
    <n v="12"/>
    <n v="5"/>
    <n v="0"/>
    <n v="5"/>
    <n v="-7"/>
    <n v="0"/>
    <n v="-7"/>
    <n v="0"/>
    <n v="0"/>
    <n v="0"/>
    <n v="0"/>
    <n v="0"/>
  </r>
  <r>
    <s v="DIY"/>
    <x v="5"/>
    <s v="Компьютеры и аксессуары"/>
    <s v="IT/Office"/>
    <s v="Мобильные и стационарные компьютеры"/>
    <s v="Ноутбук"/>
    <m/>
    <x v="0"/>
    <x v="1"/>
    <s v="да"/>
    <n v="7"/>
    <n v="0"/>
    <n v="7"/>
    <n v="0"/>
    <n v="0"/>
    <n v="0"/>
    <n v="-7"/>
    <n v="0"/>
    <n v="-7"/>
    <n v="5"/>
    <n v="660799"/>
    <n v="9"/>
    <n v="2.1357604264629093E-3"/>
    <n v="1.629926906833378E-5"/>
  </r>
  <r>
    <s v="BEAUTY&amp;HEALTH&amp; PHARMA"/>
    <x v="2"/>
    <s v="Специальное питание"/>
    <s v="Спортивное питание"/>
    <s v="Витамины и минералы"/>
    <s v="Витамины и минералы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HOBBIES&amp;SCHOOL"/>
    <x v="1"/>
    <s v="Книги, хобби, канцелярия"/>
    <s v="Хобби"/>
    <s v="Моделирование"/>
    <s v="Румбоксы"/>
    <m/>
    <x v="0"/>
    <x v="0"/>
    <s v="да"/>
    <n v="7"/>
    <n v="0"/>
    <n v="7"/>
    <n v="0"/>
    <n v="0"/>
    <n v="0"/>
    <n v="-7"/>
    <n v="0"/>
    <n v="-7"/>
    <n v="7"/>
    <n v="29799.53"/>
    <n v="155"/>
    <n v="9.6314699176594171E-5"/>
    <n v="2.8070963395463735E-4"/>
  </r>
  <r>
    <s v="TOYS"/>
    <x v="1"/>
    <s v="Детские товары"/>
    <s v="Прогулки и путешествия"/>
    <s v="Коляски и детские автокресла"/>
    <s v="Детские автокресла и бустеры"/>
    <m/>
    <x v="0"/>
    <x v="0"/>
    <s v="да"/>
    <n v="7"/>
    <n v="0"/>
    <n v="7"/>
    <n v="0"/>
    <n v="0"/>
    <n v="0"/>
    <n v="-7"/>
    <n v="0"/>
    <n v="-7"/>
    <n v="3"/>
    <n v="3240"/>
    <n v="6"/>
    <n v="1.0471964669649659E-5"/>
    <n v="1.0866179378889186E-5"/>
  </r>
  <r>
    <s v="TOYS"/>
    <x v="3"/>
    <s v="Аксессуары"/>
    <s v="Ремни и пояса"/>
    <s v="Ремни и пояса для мужчин"/>
    <s v="Ремни мужские"/>
    <m/>
    <x v="0"/>
    <x v="1"/>
    <s v="да"/>
    <n v="7"/>
    <n v="0"/>
    <n v="7"/>
    <n v="0"/>
    <n v="0"/>
    <n v="0"/>
    <n v="-7"/>
    <n v="0"/>
    <n v="-7"/>
    <n v="74"/>
    <n v="153562.83000000002"/>
    <n v="88"/>
    <n v="4.9632855874426449E-4"/>
    <n v="1.5937063089037473E-4"/>
  </r>
  <r>
    <s v="BEAUTY&amp;HEALTH&amp; PHARMA"/>
    <x v="2"/>
    <s v="Уход"/>
    <s v="Аксессуары для ухода"/>
    <s v="Аксессуары для лица и тела"/>
    <s v="Массажеры"/>
    <m/>
    <x v="0"/>
    <x v="1"/>
    <s v="да"/>
    <n v="9"/>
    <n v="1"/>
    <n v="10"/>
    <n v="3"/>
    <n v="0"/>
    <n v="3"/>
    <n v="-6"/>
    <n v="-1"/>
    <n v="-7"/>
    <n v="50"/>
    <n v="331042.61000000004"/>
    <n v="705"/>
    <n v="1.0699588012557442E-3"/>
    <n v="1.2767760770194794E-3"/>
  </r>
  <r>
    <s v="BEAUTY&amp;HEALTH&amp; PHARMA"/>
    <x v="0"/>
    <s v="Бады и Витамины"/>
    <s v="Бады"/>
    <s v="Бады для коррекции фигуры"/>
    <s v="Бады для коррекции фигуры"/>
    <m/>
    <x v="0"/>
    <x v="0"/>
    <s v="да"/>
    <n v="12"/>
    <n v="0"/>
    <n v="12"/>
    <n v="4"/>
    <n v="0"/>
    <n v="4"/>
    <n v="-8"/>
    <n v="0"/>
    <n v="-8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кухни"/>
    <s v="Микроволновая печь с грилем"/>
    <m/>
    <x v="0"/>
    <x v="0"/>
    <s v="да"/>
    <n v="8"/>
    <n v="0"/>
    <n v="8"/>
    <n v="0"/>
    <n v="0"/>
    <n v="0"/>
    <n v="-8"/>
    <n v="0"/>
    <n v="-8"/>
    <n v="0"/>
    <n v="0"/>
    <n v="0"/>
    <n v="0"/>
    <n v="0"/>
  </r>
  <r>
    <s v="TOYS"/>
    <x v="1"/>
    <s v="Детские товары"/>
    <s v="Игры и игрушки"/>
    <s v="Игрушки для всех"/>
    <s v="Радиоуправляемые игрушки"/>
    <m/>
    <x v="0"/>
    <x v="1"/>
    <s v="да"/>
    <n v="11"/>
    <n v="0"/>
    <n v="11"/>
    <n v="3"/>
    <n v="0"/>
    <n v="3"/>
    <n v="-8"/>
    <n v="0"/>
    <n v="-8"/>
    <n v="6"/>
    <n v="43484.350000000006"/>
    <n v="41"/>
    <n v="1.4054523977860502E-4"/>
    <n v="7.4252225755742774E-5"/>
  </r>
  <r>
    <s v="TOYS"/>
    <x v="1"/>
    <s v="Детские товары"/>
    <s v="Детская одежда"/>
    <s v="Одежда для мальчиков"/>
    <s v="Футболки для мальчиков"/>
    <m/>
    <x v="0"/>
    <x v="1"/>
    <s v="да"/>
    <n v="8"/>
    <n v="0"/>
    <n v="8"/>
    <n v="0"/>
    <n v="0"/>
    <n v="0"/>
    <n v="-8"/>
    <n v="0"/>
    <n v="-8"/>
    <n v="196"/>
    <n v="182925.28999999992"/>
    <n v="900"/>
    <n v="5.912306092794498E-4"/>
    <n v="1.629926906833378E-3"/>
  </r>
  <r>
    <s v="TOYS"/>
    <x v="3"/>
    <s v="Аксессуары"/>
    <s v="Аксессуары для путешествий"/>
    <s v="Чемоданы и дорожные сумки"/>
    <s v="Чемодан"/>
    <m/>
    <x v="0"/>
    <x v="1"/>
    <s v="да"/>
    <n v="8"/>
    <n v="0"/>
    <n v="8"/>
    <n v="0"/>
    <n v="0"/>
    <n v="0"/>
    <n v="-8"/>
    <n v="0"/>
    <n v="-8"/>
    <n v="57"/>
    <n v="614152.3899999999"/>
    <n v="129"/>
    <n v="1.9849944845249682E-3"/>
    <n v="2.3362285664611752E-4"/>
  </r>
  <r>
    <s v="TOYS"/>
    <x v="1"/>
    <s v="Детские товары"/>
    <s v="Игры и игрушки"/>
    <s v="Игрушки для всех"/>
    <s v="Сюжетно-ролевые игры детские"/>
    <m/>
    <x v="0"/>
    <x v="1"/>
    <s v="да"/>
    <n v="11"/>
    <n v="1"/>
    <n v="12"/>
    <n v="4"/>
    <n v="0"/>
    <n v="4"/>
    <n v="-7"/>
    <n v="-1"/>
    <n v="-8"/>
    <n v="91"/>
    <n v="259242.93999999992"/>
    <n v="503"/>
    <n v="8.3789595942472398E-4"/>
    <n v="9.1094803793021015E-4"/>
  </r>
  <r>
    <s v="BEAUTY&amp;HEALTH&amp; PHARMA"/>
    <x v="0"/>
    <s v="Бады и Витамины"/>
    <s v="Бады"/>
    <s v="Бады для мужского здоровья"/>
    <s v="Бады для мужского здоровья"/>
    <m/>
    <x v="0"/>
    <x v="0"/>
    <s v="да"/>
    <n v="14"/>
    <n v="0"/>
    <n v="14"/>
    <n v="5"/>
    <n v="0"/>
    <n v="5"/>
    <n v="-9"/>
    <n v="0"/>
    <n v="-9"/>
    <n v="0"/>
    <n v="0"/>
    <n v="0"/>
    <n v="0"/>
    <n v="0"/>
  </r>
  <r>
    <s v="HOBBIES&amp;SCHOOL"/>
    <x v="1"/>
    <s v="Книги, хобби, канцелярия"/>
    <s v="Хобби"/>
    <s v="Товары для рисования"/>
    <s v="Мольберты и холсты"/>
    <m/>
    <x v="0"/>
    <x v="0"/>
    <s v="да"/>
    <n v="9"/>
    <n v="0"/>
    <n v="9"/>
    <n v="0"/>
    <n v="0"/>
    <n v="0"/>
    <n v="-9"/>
    <n v="0"/>
    <n v="-9"/>
    <n v="3"/>
    <n v="2799.7"/>
    <n v="19"/>
    <n v="9.048876384450047E-6"/>
    <n v="3.4409568033149091E-5"/>
  </r>
  <r>
    <s v="DIY"/>
    <x v="2"/>
    <s v="Специальное питание"/>
    <s v="Спортивное питание"/>
    <s v="Протеины, гейнеры, креатины"/>
    <s v="Протеины"/>
    <m/>
    <x v="1"/>
    <x v="0"/>
    <s v="да"/>
    <n v="22"/>
    <n v="0"/>
    <n v="22"/>
    <n v="20"/>
    <n v="0"/>
    <n v="20"/>
    <n v="-2"/>
    <n v="0"/>
    <n v="-2"/>
    <n v="0"/>
    <n v="0"/>
    <n v="0"/>
    <n v="0"/>
    <n v="0"/>
  </r>
  <r>
    <s v="BEAUTY&amp;HEALTH&amp; PHARMA"/>
    <x v="2"/>
    <s v="Уход"/>
    <s v="Уход за кожей лица"/>
    <s v="Кремы"/>
    <s v="Кремы уход"/>
    <m/>
    <x v="0"/>
    <x v="1"/>
    <s v="да"/>
    <n v="37"/>
    <n v="1"/>
    <n v="38"/>
    <n v="24"/>
    <n v="4"/>
    <n v="28"/>
    <n v="-13"/>
    <n v="3"/>
    <n v="-10"/>
    <n v="724"/>
    <n v="4809579.5699999956"/>
    <n v="8207"/>
    <n v="1.5544983744724924E-2"/>
    <n v="1.4863122360423926E-2"/>
  </r>
  <r>
    <s v="BEAUTY&amp;HEALTH&amp; PHARMA"/>
    <x v="0"/>
    <s v="Бады и Витамины"/>
    <s v="Бады"/>
    <s v="Бады для женского здоровья"/>
    <s v="Бады для женского здоровья"/>
    <m/>
    <x v="0"/>
    <x v="0"/>
    <s v="да"/>
    <n v="16"/>
    <n v="0"/>
    <n v="16"/>
    <n v="6"/>
    <n v="0"/>
    <n v="6"/>
    <n v="-10"/>
    <n v="0"/>
    <n v="-10"/>
    <n v="0"/>
    <n v="0"/>
    <n v="0"/>
    <n v="0"/>
    <n v="0"/>
  </r>
  <r>
    <s v="FOODZOO"/>
    <x v="2"/>
    <s v="Бытовая химия"/>
    <s v="Средства для уборки"/>
    <s v="Чистящие средства"/>
    <s v="Чистящие средства для удаления накипи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FOODZOO"/>
    <x v="2"/>
    <s v="Бытовая химия"/>
    <s v="Уход за одеждой и обувью"/>
    <s v="Уход за обувью"/>
    <s v="Прочие средства для ухода за обувью"/>
    <m/>
    <x v="1"/>
    <x v="0"/>
    <s v="нет"/>
    <n v="2"/>
    <n v="0"/>
    <n v="2"/>
    <n v="2"/>
    <n v="0"/>
    <n v="2"/>
    <n v="0"/>
    <n v="0"/>
    <n v="0"/>
    <n v="0"/>
    <n v="0"/>
    <n v="0"/>
    <n v="0"/>
    <n v="0"/>
  </r>
  <r>
    <s v="FOODZOO"/>
    <x v="2"/>
    <s v="Бытовая химия"/>
    <s v="Освежители воздуха"/>
    <s v="Аэрозольные освежители воздуха"/>
    <s v="Аэрозольные освежители воздуха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FOODZOO"/>
    <x v="2"/>
    <s v="Кофе, какао"/>
    <s v="Кофе"/>
    <s v="Кофе натуральный"/>
    <s v="Кофе молотый в дрип-пакетах"/>
    <m/>
    <x v="1"/>
    <x v="0"/>
    <s v="нет"/>
    <n v="2"/>
    <n v="0"/>
    <n v="2"/>
    <n v="2"/>
    <n v="0"/>
    <n v="2"/>
    <n v="0"/>
    <n v="0"/>
    <n v="0"/>
    <n v="0"/>
    <n v="0"/>
    <n v="0"/>
    <n v="0"/>
    <n v="0"/>
  </r>
  <r>
    <s v="FOODZOO"/>
    <x v="2"/>
    <s v="Кондитерские изделия"/>
    <s v="Современные кондитерские изделия"/>
    <s v="Батончики"/>
    <s v="Батончики протеиновые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Интерактивные игрушки"/>
    <m/>
    <x v="0"/>
    <x v="1"/>
    <s v="да"/>
    <n v="21"/>
    <n v="1"/>
    <n v="22"/>
    <n v="12"/>
    <n v="0"/>
    <n v="12"/>
    <n v="-9"/>
    <n v="-1"/>
    <n v="-10"/>
    <n v="67"/>
    <n v="733375.98999999987"/>
    <n v="607"/>
    <n v="2.3703356348300435E-3"/>
    <n v="1.0992951471642894E-3"/>
  </r>
  <r>
    <s v="TOYS"/>
    <x v="3"/>
    <s v="Одежда"/>
    <s v="Чулки, носки"/>
    <s v="Чулочно-носочные изделия для мужчин"/>
    <s v="Носки мужские"/>
    <m/>
    <x v="0"/>
    <x v="1"/>
    <s v="да"/>
    <n v="19"/>
    <n v="1"/>
    <n v="20"/>
    <n v="6"/>
    <n v="3"/>
    <n v="9"/>
    <n v="-13"/>
    <n v="2"/>
    <n v="-11"/>
    <n v="55"/>
    <n v="170135.99999999997"/>
    <n v="267"/>
    <n v="5.4989450031960312E-4"/>
    <n v="4.8354498236056879E-4"/>
  </r>
  <r>
    <s v="FOODZOO"/>
    <x v="2"/>
    <s v="Снэки"/>
    <s v="Орехи и сухофрукты"/>
    <s v="Орехи"/>
    <s v="Арахис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TOYS"/>
    <x v="3"/>
    <s v="Одежда"/>
    <s v="Бельё"/>
    <s v="Белье для мужчин"/>
    <s v="Термобелье для мужчин"/>
    <m/>
    <x v="0"/>
    <x v="1"/>
    <s v="да"/>
    <n v="11"/>
    <n v="0"/>
    <n v="11"/>
    <n v="0"/>
    <n v="0"/>
    <n v="0"/>
    <n v="-11"/>
    <n v="0"/>
    <n v="-11"/>
    <n v="0"/>
    <n v="0"/>
    <n v="0"/>
    <n v="0"/>
    <n v="0"/>
  </r>
  <r>
    <s v="TOYS"/>
    <x v="3"/>
    <s v="Одежда"/>
    <s v="Основная одежда"/>
    <s v="Основная одежда для мужчин"/>
    <s v="Футболка для мужчин"/>
    <m/>
    <x v="0"/>
    <x v="1"/>
    <s v="да"/>
    <n v="10"/>
    <n v="1"/>
    <n v="11"/>
    <n v="0"/>
    <n v="0"/>
    <n v="0"/>
    <n v="-10"/>
    <n v="-1"/>
    <n v="-11"/>
    <n v="607"/>
    <n v="862762.44999999949"/>
    <n v="829"/>
    <n v="2.78852404157419E-3"/>
    <n v="1.5013437841831893E-3"/>
  </r>
  <r>
    <s v="TOYS"/>
    <x v="1"/>
    <s v="Детские товары"/>
    <s v="Игры и игрушки"/>
    <s v="Игрушки для девочек"/>
    <s v="Куклы"/>
    <m/>
    <x v="0"/>
    <x v="1"/>
    <s v="да"/>
    <n v="15"/>
    <n v="1"/>
    <n v="16"/>
    <n v="5"/>
    <n v="0"/>
    <n v="5"/>
    <n v="-10"/>
    <n v="-1"/>
    <n v="-11"/>
    <n v="158"/>
    <n v="673136.66000000015"/>
    <n v="581"/>
    <n v="2.1756368275820917E-3"/>
    <n v="1.0522083698557695E-3"/>
  </r>
  <r>
    <s v="TOYS"/>
    <x v="1"/>
    <s v="Детские товары"/>
    <s v="Игры и игрушки"/>
    <s v="Игрушки для всех"/>
    <s v="Мягкие игрушки"/>
    <m/>
    <x v="0"/>
    <x v="1"/>
    <s v="да"/>
    <n v="20"/>
    <n v="3"/>
    <n v="23"/>
    <n v="12"/>
    <n v="0"/>
    <n v="12"/>
    <n v="-8"/>
    <n v="-3"/>
    <n v="-11"/>
    <n v="201"/>
    <n v="1009911.1999999998"/>
    <n v="1257"/>
    <n v="3.2641217302109534E-3"/>
    <n v="2.2764645798772848E-3"/>
  </r>
  <r>
    <s v="HOBBIES&amp;SCHOOL"/>
    <x v="1"/>
    <s v="Книги, хобби, канцелярия"/>
    <s v="Канцелярия"/>
    <s v="Пишущие принадлежности"/>
    <s v="Маркеры, текстовыделители"/>
    <m/>
    <x v="0"/>
    <x v="0"/>
    <s v="да"/>
    <n v="9"/>
    <n v="6"/>
    <n v="15"/>
    <n v="4"/>
    <n v="0"/>
    <n v="4"/>
    <n v="-5"/>
    <n v="-6"/>
    <n v="-11"/>
    <n v="22"/>
    <n v="38481.279999999999"/>
    <n v="225"/>
    <n v="1.2437487796385679E-4"/>
    <n v="4.074817267083445E-4"/>
  </r>
  <r>
    <s v="FOODZOO"/>
    <x v="2"/>
    <s v="Бакалея"/>
    <s v="Растительные масла"/>
    <s v="Оливковое масло"/>
    <s v="Нерафинированное оливковое масло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FOODZOO"/>
    <x v="2"/>
    <s v="Консервированные продукты"/>
    <s v="Сладкая консервация"/>
    <s v="Джемы"/>
    <s v="Джемы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BEAUTY&amp;HEALTH&amp; PHARMA"/>
    <x v="2"/>
    <s v="Уход"/>
    <s v="Наборы подарочные косметические"/>
    <s v="Наборы подарочные косметические женские"/>
    <s v="Наборы подарочные косметические женские"/>
    <m/>
    <x v="0"/>
    <x v="1"/>
    <s v="да"/>
    <n v="18"/>
    <n v="1"/>
    <n v="19"/>
    <n v="6"/>
    <n v="1"/>
    <n v="7"/>
    <n v="-12"/>
    <n v="0"/>
    <n v="-12"/>
    <n v="180"/>
    <n v="1348820.0699999991"/>
    <n v="1322"/>
    <n v="4.3595049749241884E-3"/>
    <n v="2.3941815231485843E-3"/>
  </r>
  <r>
    <s v="DIY"/>
    <x v="5"/>
    <s v="Бытовая техника и Электроника"/>
    <s v="Малая бытовая техника"/>
    <s v="Техника для дома"/>
    <s v="Робот-мойщик окон"/>
    <m/>
    <x v="0"/>
    <x v="0"/>
    <s v="да"/>
    <n v="15"/>
    <n v="0"/>
    <n v="15"/>
    <n v="3"/>
    <n v="0"/>
    <n v="3"/>
    <n v="-12"/>
    <n v="0"/>
    <n v="-12"/>
    <n v="5"/>
    <n v="66807.39"/>
    <n v="20"/>
    <n v="2.1592735424429195E-4"/>
    <n v="3.6220597929630622E-5"/>
  </r>
  <r>
    <s v="TOYS"/>
    <x v="3"/>
    <s v="Аксессуары"/>
    <s v="Сумки и рюкзаки"/>
    <s v="Рюкзаки для мужчин"/>
    <s v="Рюкзак мужской"/>
    <m/>
    <x v="0"/>
    <x v="1"/>
    <s v="да"/>
    <n v="11"/>
    <n v="1"/>
    <n v="12"/>
    <n v="0"/>
    <n v="0"/>
    <n v="0"/>
    <n v="-11"/>
    <n v="-1"/>
    <n v="-12"/>
    <n v="215"/>
    <n v="1454867.149999999"/>
    <n v="3193"/>
    <n v="4.7022584548870004E-3"/>
    <n v="5.7826184594655288E-3"/>
  </r>
  <r>
    <s v="HOBBIES&amp;SCHOOL"/>
    <x v="1"/>
    <s v="Книги, хобби, канцелярия"/>
    <s v="Канцелярия"/>
    <s v="Бумажная продукция"/>
    <s v="Бумага для офисной техники"/>
    <m/>
    <x v="0"/>
    <x v="0"/>
    <s v="да"/>
    <n v="16"/>
    <n v="1"/>
    <n v="17"/>
    <n v="2"/>
    <n v="2"/>
    <n v="4"/>
    <n v="-14"/>
    <n v="1"/>
    <n v="-13"/>
    <n v="7"/>
    <n v="7957.09"/>
    <n v="15"/>
    <n v="2.5718013997908213E-5"/>
    <n v="2.7165448447222968E-5"/>
  </r>
  <r>
    <s v="FOODZOO"/>
    <x v="2"/>
    <s v="Консервированные продукты"/>
    <s v="Сладкая консервация"/>
    <s v="Мед"/>
    <s v="Мед с добавками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приготовления кофе"/>
    <s v="Кофемашина автоматическая"/>
    <m/>
    <x v="0"/>
    <x v="0"/>
    <s v="да"/>
    <n v="18"/>
    <n v="0"/>
    <n v="18"/>
    <n v="5"/>
    <n v="0"/>
    <n v="5"/>
    <n v="-13"/>
    <n v="0"/>
    <n v="-13"/>
    <n v="3"/>
    <n v="150688"/>
    <n v="5"/>
    <n v="4.8703685559881726E-4"/>
    <n v="9.0551494824076554E-6"/>
  </r>
  <r>
    <s v="TOYS"/>
    <x v="2"/>
    <s v="Бытовая химия"/>
    <s v="Уход за одеждой и обувью"/>
    <s v="Уход за одеждой"/>
    <s v="Влажные салфетки для ухода за одеждой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HOBBIES&amp;SCHOOL"/>
    <x v="1"/>
    <s v="Книги, хобби, канцелярия"/>
    <s v="Канцелярия"/>
    <s v="Пишущие принадлежности"/>
    <s v="Ручки, стержни"/>
    <m/>
    <x v="0"/>
    <x v="1"/>
    <s v="да"/>
    <n v="20"/>
    <n v="6"/>
    <n v="26"/>
    <n v="9"/>
    <n v="4"/>
    <n v="13"/>
    <n v="-11"/>
    <n v="-2"/>
    <n v="-13"/>
    <n v="82"/>
    <n v="170180.97"/>
    <n v="1017"/>
    <n v="5.5003984731071258E-4"/>
    <n v="1.8418174047217172E-3"/>
  </r>
  <r>
    <s v="BEAUTY&amp;HEALTH&amp; PHARMA"/>
    <x v="0"/>
    <s v="Бады и Витамины"/>
    <s v="Витамины"/>
    <s v="Витамины таблетированные"/>
    <s v="Витамины таблетированные"/>
    <m/>
    <x v="0"/>
    <x v="0"/>
    <s v="да"/>
    <n v="21"/>
    <n v="0"/>
    <n v="21"/>
    <n v="7"/>
    <n v="0"/>
    <n v="7"/>
    <n v="-14"/>
    <n v="0"/>
    <n v="-14"/>
    <n v="15"/>
    <n v="86780.930000000008"/>
    <n v="121"/>
    <n v="2.8048359041954945E-4"/>
    <n v="2.1913461747426527E-4"/>
  </r>
  <r>
    <s v="TOYS"/>
    <x v="2"/>
    <s v="Детская гигиена и уход"/>
    <s v="Уход за детьми"/>
    <s v="Уход за кожей ребенка"/>
    <s v="Присыпка детская"/>
    <m/>
    <x v="1"/>
    <x v="0"/>
    <s v="да"/>
    <n v="2"/>
    <n v="0"/>
    <n v="2"/>
    <n v="2"/>
    <n v="0"/>
    <n v="2"/>
    <n v="0"/>
    <n v="0"/>
    <n v="0"/>
    <n v="0"/>
    <n v="0"/>
    <n v="0"/>
    <n v="0"/>
    <n v="0"/>
  </r>
  <r>
    <s v="FOODZOO"/>
    <x v="2"/>
    <s v="Безалкогольные напитки"/>
    <s v="Воды минеральные"/>
    <s v="Воды минеральные"/>
    <s v="Воды минеральные от 0,8л до 3л"/>
    <m/>
    <x v="1"/>
    <x v="0"/>
    <s v="да"/>
    <n v="3"/>
    <n v="0"/>
    <n v="3"/>
    <n v="3"/>
    <n v="0"/>
    <n v="3"/>
    <n v="0"/>
    <n v="0"/>
    <n v="0"/>
    <n v="0"/>
    <n v="0"/>
    <n v="0"/>
    <n v="0"/>
    <n v="0"/>
  </r>
  <r>
    <s v="HOBBIES&amp;SCHOOL"/>
    <x v="1"/>
    <s v="Детские товары"/>
    <s v="Игры и игрушки"/>
    <s v="Хобби и творчество"/>
    <s v="Рисование"/>
    <m/>
    <x v="0"/>
    <x v="0"/>
    <s v="да"/>
    <n v="14"/>
    <n v="0"/>
    <n v="14"/>
    <n v="0"/>
    <n v="0"/>
    <n v="0"/>
    <n v="-14"/>
    <n v="0"/>
    <n v="-14"/>
    <n v="3"/>
    <n v="3905.5299999999997"/>
    <n v="14"/>
    <n v="1.2623016103782972E-5"/>
    <n v="2.5354418550741437E-5"/>
  </r>
  <r>
    <s v="TOYS"/>
    <x v="1"/>
    <s v="Детские товары"/>
    <s v="Игры и игрушки"/>
    <s v="Игрушки для малышей"/>
    <s v="Развивающие коврики и центры"/>
    <m/>
    <x v="0"/>
    <x v="1"/>
    <s v="да"/>
    <n v="13"/>
    <n v="1"/>
    <n v="14"/>
    <n v="0"/>
    <n v="0"/>
    <n v="0"/>
    <n v="-13"/>
    <n v="-1"/>
    <n v="-14"/>
    <n v="8"/>
    <n v="18708"/>
    <n v="14"/>
    <n v="6.0465899703643771E-5"/>
    <n v="2.5354418550741437E-5"/>
  </r>
  <r>
    <s v="DIY"/>
    <x v="5"/>
    <s v="Бытовая техника и Электроника"/>
    <s v="Малая бытовая техника"/>
    <s v="Техника для красоты и здоровья"/>
    <s v="Фен-щетка"/>
    <m/>
    <x v="0"/>
    <x v="0"/>
    <s v="да"/>
    <n v="17"/>
    <n v="0"/>
    <n v="17"/>
    <n v="2"/>
    <n v="0"/>
    <n v="2"/>
    <n v="-15"/>
    <n v="0"/>
    <n v="-15"/>
    <n v="9"/>
    <n v="125240.37000000002"/>
    <n v="58"/>
    <n v="4.0478787958452201E-4"/>
    <n v="1.0503973399592881E-4"/>
  </r>
  <r>
    <s v="DIY"/>
    <x v="5"/>
    <s v="Смартфоны и гаджеты"/>
    <s v="Смартфоны"/>
    <s v="Смартфоны прочие"/>
    <s v="Смартфоны прочие"/>
    <m/>
    <x v="0"/>
    <x v="1"/>
    <s v="да"/>
    <n v="25"/>
    <n v="0"/>
    <n v="25"/>
    <n v="10"/>
    <n v="0"/>
    <n v="10"/>
    <n v="-15"/>
    <n v="0"/>
    <n v="-15"/>
    <n v="8"/>
    <n v="237336"/>
    <n v="87"/>
    <n v="7.6709080457900358E-4"/>
    <n v="1.575596009938932E-4"/>
  </r>
  <r>
    <s v="DIY"/>
    <x v="5"/>
    <s v="Бытовая техника и Электроника"/>
    <s v="Малая бытовая техника"/>
    <s v="Техника для кухни"/>
    <s v="Электрогриль, Аэрогриль"/>
    <m/>
    <x v="0"/>
    <x v="0"/>
    <s v="да"/>
    <n v="31"/>
    <n v="0"/>
    <n v="31"/>
    <n v="15"/>
    <n v="0"/>
    <n v="15"/>
    <n v="-16"/>
    <n v="0"/>
    <n v="-16"/>
    <n v="18"/>
    <n v="390941.26"/>
    <n v="90"/>
    <n v="1.2635565008112103E-3"/>
    <n v="1.6299269068333779E-4"/>
  </r>
  <r>
    <s v="FOODZOO"/>
    <x v="2"/>
    <s v="Кофе, какао"/>
    <s v="Кофе для капсульных машин"/>
    <s v="Кофе в капсулах"/>
    <s v="Кофе в капсулах вкусовой"/>
    <m/>
    <x v="1"/>
    <x v="1"/>
    <s v="да"/>
    <n v="3"/>
    <n v="0"/>
    <n v="3"/>
    <n v="3"/>
    <n v="0"/>
    <n v="3"/>
    <n v="0"/>
    <n v="0"/>
    <n v="0"/>
    <n v="0"/>
    <n v="0"/>
    <n v="0"/>
    <n v="0"/>
    <n v="0"/>
  </r>
  <r>
    <s v="HOBBIES&amp;SCHOOL"/>
    <x v="1"/>
    <s v="Книги, хобби, канцелярия"/>
    <s v="Книги"/>
    <s v="Научно-популярные"/>
    <s v="Научно-популярные"/>
    <m/>
    <x v="0"/>
    <x v="0"/>
    <s v="нет"/>
    <n v="16"/>
    <n v="0"/>
    <n v="16"/>
    <n v="0"/>
    <n v="0"/>
    <n v="0"/>
    <n v="-16"/>
    <n v="0"/>
    <n v="-16"/>
    <n v="36"/>
    <n v="103131.56000000001"/>
    <n v="183"/>
    <n v="3.3333026316230066E-4"/>
    <n v="3.3141847105612021E-4"/>
  </r>
  <r>
    <s v="BEAUTY&amp;HEALTH&amp; PHARMA"/>
    <x v="0"/>
    <s v="Бады и Витамины"/>
    <s v="Бады"/>
    <s v="Бады для костей и суставов"/>
    <s v="Бады для костей и суставов"/>
    <m/>
    <x v="0"/>
    <x v="0"/>
    <s v="да"/>
    <n v="21"/>
    <n v="0"/>
    <n v="21"/>
    <n v="4"/>
    <n v="0"/>
    <n v="4"/>
    <n v="-17"/>
    <n v="0"/>
    <n v="-17"/>
    <n v="0"/>
    <n v="0"/>
    <n v="0"/>
    <n v="0"/>
    <n v="0"/>
  </r>
  <r>
    <s v="BEAUTY&amp;HEALTH&amp; PHARMA"/>
    <x v="0"/>
    <s v="Бады и Витамины"/>
    <s v="Бады"/>
    <s v="Бады для красоты"/>
    <s v="Бады для красоты"/>
    <m/>
    <x v="0"/>
    <x v="0"/>
    <s v="да"/>
    <n v="28"/>
    <n v="0"/>
    <n v="28"/>
    <n v="11"/>
    <n v="0"/>
    <n v="11"/>
    <n v="-17"/>
    <n v="0"/>
    <n v="-17"/>
    <n v="71"/>
    <n v="1134150.7999999996"/>
    <n v="1636"/>
    <n v="3.6656750332268186E-3"/>
    <n v="2.9628449106437848E-3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Мармелад"/>
    <m/>
    <x v="1"/>
    <x v="0"/>
    <s v="да"/>
    <n v="3"/>
    <n v="0"/>
    <n v="3"/>
    <n v="3"/>
    <n v="0"/>
    <n v="3"/>
    <n v="0"/>
    <n v="0"/>
    <n v="0"/>
    <n v="0"/>
    <n v="0"/>
    <n v="0"/>
    <n v="0"/>
    <n v="0"/>
  </r>
  <r>
    <s v="DIY"/>
    <x v="5"/>
    <s v="Бытовая техника и Электроника"/>
    <s v="Малая бытовая техника"/>
    <s v="Техника для дома"/>
    <s v="Моющие пылесосы"/>
    <m/>
    <x v="0"/>
    <x v="0"/>
    <s v="да"/>
    <n v="22"/>
    <n v="0"/>
    <n v="22"/>
    <n v="4"/>
    <n v="0"/>
    <n v="4"/>
    <n v="-18"/>
    <n v="0"/>
    <n v="-18"/>
    <n v="0"/>
    <n v="0"/>
    <n v="0"/>
    <n v="0"/>
    <n v="0"/>
  </r>
  <r>
    <s v="FOODZOO"/>
    <x v="2"/>
    <s v="Кондитерские изделия"/>
    <s v="Плодово-ягодные кондитерские изделия"/>
    <s v="Плодово-ягодные кондитерские изделия"/>
    <s v="Пастильные изделия"/>
    <m/>
    <x v="1"/>
    <x v="0"/>
    <s v="да"/>
    <n v="3"/>
    <n v="0"/>
    <n v="3"/>
    <n v="3"/>
    <n v="0"/>
    <n v="3"/>
    <n v="0"/>
    <n v="0"/>
    <n v="0"/>
    <n v="0"/>
    <n v="0"/>
    <n v="0"/>
    <n v="0"/>
    <n v="0"/>
  </r>
  <r>
    <s v="HOUSEHOLD"/>
    <x v="4"/>
    <s v="Товары для дома"/>
    <s v="Порядок в доме и уборка"/>
    <s v="Швабры и насадки"/>
    <s v="Швабра"/>
    <m/>
    <x v="0"/>
    <x v="0"/>
    <s v="да"/>
    <n v="37"/>
    <n v="0"/>
    <n v="37"/>
    <n v="15"/>
    <n v="2"/>
    <n v="17"/>
    <n v="-22"/>
    <n v="2"/>
    <n v="-20"/>
    <n v="14"/>
    <n v="252451.93"/>
    <n v="323"/>
    <n v="8.159468184397743E-4"/>
    <n v="5.8496265656353451E-4"/>
  </r>
  <r>
    <s v="HOBBIES&amp;SCHOOL"/>
    <x v="1"/>
    <s v="Книги, хобби, канцелярия"/>
    <s v="Книги"/>
    <s v="Развивающая литература"/>
    <s v="Развивающая литература"/>
    <m/>
    <x v="0"/>
    <x v="0"/>
    <s v="да"/>
    <n v="30"/>
    <n v="5"/>
    <n v="35"/>
    <n v="13"/>
    <n v="2"/>
    <n v="15"/>
    <n v="-17"/>
    <n v="-3"/>
    <n v="-20"/>
    <n v="152"/>
    <n v="493217.05"/>
    <n v="1393"/>
    <n v="1.5941208401447004E-3"/>
    <n v="2.5227646457987728E-3"/>
  </r>
  <r>
    <s v="DIY"/>
    <x v="5"/>
    <s v="Бытовая техника и Электроника"/>
    <s v="Малая бытовая техника"/>
    <s v="Техника для дома"/>
    <s v="Робот-пылесос"/>
    <m/>
    <x v="0"/>
    <x v="0"/>
    <s v="да"/>
    <n v="36"/>
    <n v="0"/>
    <n v="36"/>
    <n v="15"/>
    <n v="0"/>
    <n v="15"/>
    <n v="-21"/>
    <n v="0"/>
    <n v="-21"/>
    <n v="6"/>
    <n v="307143.28000000003"/>
    <n v="30"/>
    <n v="9.9271406687663987E-4"/>
    <n v="5.4330896894445936E-5"/>
  </r>
  <r>
    <s v="HOBBIES&amp;SCHOOL"/>
    <x v="1"/>
    <s v="Детские товары"/>
    <s v="Игры и игрушки"/>
    <s v="Хобби и творчество"/>
    <s v="Детское творчество"/>
    <s v="инаут"/>
    <x v="0"/>
    <x v="1"/>
    <s v="да"/>
    <n v="25"/>
    <n v="0"/>
    <n v="25"/>
    <n v="4"/>
    <n v="0"/>
    <n v="4"/>
    <n v="-21"/>
    <n v="0"/>
    <n v="-21"/>
    <n v="73"/>
    <n v="223138.32000000007"/>
    <n v="450"/>
    <n v="7.2120265539659897E-4"/>
    <n v="8.14963453416689E-4"/>
  </r>
  <r>
    <s v="HOBBIES&amp;SCHOOL"/>
    <x v="1"/>
    <s v="Книги, хобби, канцелярия"/>
    <s v="Хобби"/>
    <s v="Поделки и рукоделие"/>
    <s v="Товары для лепки"/>
    <m/>
    <x v="0"/>
    <x v="0"/>
    <s v="да"/>
    <n v="35"/>
    <n v="1"/>
    <n v="36"/>
    <n v="12"/>
    <n v="2"/>
    <n v="14"/>
    <n v="-23"/>
    <n v="1"/>
    <n v="-22"/>
    <n v="75"/>
    <n v="220989.00999999998"/>
    <n v="1072"/>
    <n v="7.142558966360664E-4"/>
    <n v="1.9414240490282014E-3"/>
  </r>
  <r>
    <s v="FOODZOO"/>
    <x v="2"/>
    <s v="Кондитерские изделия"/>
    <s v="Шоколадные конфеты в коробках"/>
    <s v="Шоколадные конфеты в коробках"/>
    <s v="Шоколадные конфеты в коробках"/>
    <m/>
    <x v="1"/>
    <x v="1"/>
    <s v="да"/>
    <n v="3"/>
    <n v="0"/>
    <n v="3"/>
    <n v="3"/>
    <n v="0"/>
    <n v="3"/>
    <n v="0"/>
    <n v="0"/>
    <n v="0"/>
    <n v="0"/>
    <n v="0"/>
    <n v="0"/>
    <n v="0"/>
    <n v="0"/>
  </r>
  <r>
    <s v="HOBBIES&amp;SCHOOL"/>
    <x v="1"/>
    <s v="Детские товары"/>
    <s v="Игры и игрушки"/>
    <s v="Хобби и творчество"/>
    <s v="Наука"/>
    <s v="инаут"/>
    <x v="0"/>
    <x v="1"/>
    <s v="да"/>
    <n v="22"/>
    <n v="1"/>
    <n v="23"/>
    <n v="0"/>
    <n v="0"/>
    <n v="0"/>
    <n v="-22"/>
    <n v="-1"/>
    <n v="-23"/>
    <n v="37"/>
    <n v="119872.58000000002"/>
    <n v="216"/>
    <n v="3.8743871068510878E-4"/>
    <n v="3.9118245764001069E-4"/>
  </r>
  <r>
    <s v="TOYS"/>
    <x v="2"/>
    <s v="Бытовая химия"/>
    <s v="Уход за одеждой и обувью"/>
    <s v="Уход за одеждой"/>
    <s v="Прочие средства для ухода за одеждой"/>
    <m/>
    <x v="1"/>
    <x v="0"/>
    <s v="да"/>
    <n v="3"/>
    <n v="0"/>
    <n v="3"/>
    <n v="3"/>
    <n v="0"/>
    <n v="3"/>
    <n v="0"/>
    <n v="0"/>
    <n v="0"/>
    <n v="0"/>
    <n v="0"/>
    <n v="0"/>
    <n v="0"/>
    <n v="0"/>
  </r>
  <r>
    <s v="BEAUTY&amp;HEALTH&amp; PHARMA"/>
    <x v="2"/>
    <s v="Гигиена"/>
    <s v="Урология"/>
    <s v="Урологические прокладки"/>
    <s v="Урологические прокладки"/>
    <m/>
    <x v="1"/>
    <x v="0"/>
    <s v="да"/>
    <n v="4"/>
    <n v="0"/>
    <n v="4"/>
    <n v="4"/>
    <n v="0"/>
    <n v="4"/>
    <n v="0"/>
    <n v="0"/>
    <n v="0"/>
    <n v="0"/>
    <n v="0"/>
    <n v="0"/>
    <n v="0"/>
    <n v="0"/>
  </r>
  <r>
    <s v="BEAUTY&amp;HEALTH&amp; PHARMA"/>
    <x v="0"/>
    <s v="Бады и Витамины"/>
    <s v="Бады"/>
    <s v="Бады для нервной системы"/>
    <s v="Бады для нервной системы"/>
    <m/>
    <x v="0"/>
    <x v="0"/>
    <s v="да"/>
    <n v="39"/>
    <n v="0"/>
    <n v="39"/>
    <n v="10"/>
    <n v="0"/>
    <n v="10"/>
    <n v="-29"/>
    <n v="0"/>
    <n v="-29"/>
    <n v="0"/>
    <n v="0"/>
    <n v="0"/>
    <n v="0"/>
    <n v="0"/>
  </r>
  <r>
    <s v="FOODZOO"/>
    <x v="2"/>
    <s v="Специальное питание"/>
    <s v="Диетическое питание"/>
    <s v="Отруби, клетчатка"/>
    <s v="Отруби сыпучие"/>
    <m/>
    <x v="1"/>
    <x v="0"/>
    <s v="да"/>
    <n v="4"/>
    <n v="0"/>
    <n v="4"/>
    <n v="4"/>
    <n v="0"/>
    <n v="4"/>
    <n v="0"/>
    <n v="0"/>
    <n v="0"/>
    <n v="0"/>
    <n v="0"/>
    <n v="0"/>
    <n v="0"/>
    <n v="0"/>
  </r>
  <r>
    <s v="FOODZOO"/>
    <x v="2"/>
    <s v="Мучные кондитерские изделия"/>
    <s v="Мучные кондитерские изделия"/>
    <s v="Вафли"/>
    <s v="Вафельные изделия"/>
    <m/>
    <x v="1"/>
    <x v="0"/>
    <s v="да"/>
    <n v="4"/>
    <n v="0"/>
    <n v="4"/>
    <n v="4"/>
    <n v="0"/>
    <n v="4"/>
    <n v="0"/>
    <n v="0"/>
    <n v="0"/>
    <n v="0"/>
    <n v="0"/>
    <n v="0"/>
    <n v="0"/>
    <n v="0"/>
  </r>
  <r>
    <s v="TOYS"/>
    <x v="1"/>
    <s v="Детские товары"/>
    <s v="Игры и игрушки"/>
    <s v="Игрушки для всех"/>
    <s v="Конструкторы"/>
    <s v="инаут"/>
    <x v="0"/>
    <x v="1"/>
    <s v="да"/>
    <n v="40"/>
    <n v="1"/>
    <n v="41"/>
    <n v="10"/>
    <n v="0"/>
    <n v="10"/>
    <n v="-30"/>
    <n v="-1"/>
    <n v="-31"/>
    <n v="128"/>
    <n v="537705.10000000021"/>
    <n v="680"/>
    <n v="1.7379101265093948E-3"/>
    <n v="1.2315003296074411E-3"/>
  </r>
  <r>
    <s v="DIY"/>
    <x v="5"/>
    <s v="Бытовая техника и Электроника"/>
    <s v="Малая бытовая техника"/>
    <s v="Техника для дома"/>
    <s v="Пылесосы вертикальные"/>
    <m/>
    <x v="0"/>
    <x v="0"/>
    <s v="да"/>
    <n v="44"/>
    <n v="0"/>
    <n v="44"/>
    <n v="10"/>
    <n v="0"/>
    <n v="10"/>
    <n v="-34"/>
    <n v="0"/>
    <n v="-34"/>
    <n v="2"/>
    <n v="93806"/>
    <n v="8"/>
    <n v="3.0318923388924569E-4"/>
    <n v="1.4488239171852249E-5"/>
  </r>
  <r>
    <s v="HOUSEHOLD"/>
    <x v="4"/>
    <s v="Товары для дома"/>
    <s v="Текстиль для спальни"/>
    <s v="Подушки и одеяла"/>
    <s v="Одеяло 2 сп"/>
    <m/>
    <x v="1"/>
    <x v="0"/>
    <s v="да"/>
    <n v="7"/>
    <n v="0"/>
    <n v="7"/>
    <n v="2"/>
    <n v="0"/>
    <n v="2"/>
    <n v="-5"/>
    <n v="0"/>
    <n v="-5"/>
    <n v="0"/>
    <n v="0"/>
    <n v="0"/>
    <n v="0"/>
    <n v="0"/>
  </r>
  <r>
    <s v="FOODZOO"/>
    <x v="2"/>
    <s v="Кондитерские изделия"/>
    <s v="Шоколад"/>
    <s v="Шоколад плиточный"/>
    <s v="Шоколад молочный"/>
    <m/>
    <x v="1"/>
    <x v="0"/>
    <s v="да"/>
    <n v="9"/>
    <n v="0"/>
    <n v="9"/>
    <n v="9"/>
    <n v="0"/>
    <n v="9"/>
    <n v="0"/>
    <n v="0"/>
    <n v="0"/>
    <n v="0"/>
    <n v="0"/>
    <n v="0"/>
    <n v="0"/>
    <n v="0"/>
  </r>
  <r>
    <s v="HOBBIES&amp;SCHOOL"/>
    <x v="1"/>
    <s v="Книги, хобби, канцелярия"/>
    <s v="Хобби"/>
    <s v="Настольные игры"/>
    <s v="Настольные игры для взрослых прочие"/>
    <m/>
    <x v="0"/>
    <x v="1"/>
    <s v="да"/>
    <n v="58"/>
    <n v="0"/>
    <n v="58"/>
    <n v="15"/>
    <n v="0"/>
    <n v="15"/>
    <n v="-43"/>
    <n v="0"/>
    <n v="-43"/>
    <n v="21"/>
    <n v="78283.13"/>
    <n v="97"/>
    <n v="2.5301795419431831E-4"/>
    <n v="1.7566989995870851E-4"/>
  </r>
  <r>
    <s v="FOODZOO"/>
    <x v="2"/>
    <s v="Бытовая химия"/>
    <s v="Мытье посуды"/>
    <s v="Средства для автоматического мытья посуды"/>
    <s v="Таблетированные средства для ПММ"/>
    <m/>
    <x v="1"/>
    <x v="0"/>
    <s v="да"/>
    <n v="14"/>
    <n v="0"/>
    <n v="14"/>
    <n v="14"/>
    <n v="0"/>
    <n v="14"/>
    <n v="0"/>
    <n v="0"/>
    <n v="0"/>
    <n v="0"/>
    <n v="0"/>
    <n v="0"/>
    <n v="0"/>
    <n v="0"/>
  </r>
  <r>
    <s v="FOODZOO"/>
    <x v="2"/>
    <s v="Кофе, какао"/>
    <s v="Кофе"/>
    <s v="Кофе натуральный"/>
    <s v="Кофе в зернах"/>
    <m/>
    <x v="1"/>
    <x v="1"/>
    <s v="да"/>
    <n v="29"/>
    <n v="0"/>
    <n v="29"/>
    <n v="29"/>
    <n v="0"/>
    <n v="29"/>
    <n v="0"/>
    <n v="0"/>
    <n v="0"/>
    <n v="0"/>
    <n v="0"/>
    <n v="0"/>
    <n v="0"/>
    <n v="0"/>
  </r>
  <r>
    <s v="HOBBIES&amp;SCHOOL"/>
    <x v="1"/>
    <s v="Книги, хобби, канцелярия"/>
    <s v="Книги"/>
    <s v="Художественная литература"/>
    <s v="Художественная литература"/>
    <s v="инаут"/>
    <x v="0"/>
    <x v="0"/>
    <s v="да"/>
    <n v="51"/>
    <n v="0"/>
    <n v="51"/>
    <n v="0"/>
    <n v="0"/>
    <n v="0"/>
    <n v="-51"/>
    <n v="0"/>
    <n v="-51"/>
    <n v="198"/>
    <n v="442709.53000000009"/>
    <n v="868"/>
    <n v="1.4308760978633355E-3"/>
    <n v="1.57197395014596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F5982-D7D4-5344-A8B2-36CFE101A939}" name="Сводная таблица14" cacheId="53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J13" firstHeaderRow="0" firstDataRow="1" firstDataCol="1" rowPageCount="2" colPageCount="1"/>
  <pivotFields count="24">
    <pivotField showAll="0"/>
    <pivotField axis="axisRow" showAll="0">
      <items count="9">
        <item x="5"/>
        <item x="0"/>
        <item x="1"/>
        <item x="6"/>
        <item x="4"/>
        <item x="3"/>
        <item x="2"/>
        <item x="7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3" showAll="0"/>
    <pivotField numFmtId="3" showAll="0"/>
    <pivotField numFmtId="10" showAll="0"/>
    <pivotField numFmtId="1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8" hier="-1"/>
    <pageField fld="7" hier="-1"/>
  </pageFields>
  <dataFields count="9">
    <dataField name="  Эталон МАКСы" fld="10" baseField="0" baseItem="0"/>
    <dataField name=" NEW Эталон МАКСы" fld="13" baseField="0" baseItem="0"/>
    <dataField name=" отклонение МАКСы" fld="16" baseField="0" baseItem="0"/>
    <dataField name=" Эталон 15 мин" fld="11" baseField="0" baseItem="0"/>
    <dataField name=" NEW Эталон 15 мин" fld="14" baseField="0" baseItem="0"/>
    <dataField name=" отклонение 15 мин" fld="17" baseField="0" baseItem="0"/>
    <dataField name=" Эталон МАКС + 15 мин" fld="12" baseField="0" baseItem="0"/>
    <dataField name=" NEW Эталон МАКС + 15 мин" fld="15" baseField="0" baseItem="0"/>
    <dataField name=" отклонение итого" fld="18" baseField="0" baseItem="0"/>
  </dataFields>
  <formats count="5"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A2ED-D777-F845-9F12-850210179B90}">
  <dimension ref="A1:J13"/>
  <sheetViews>
    <sheetView zoomScale="130" zoomScaleNormal="130" workbookViewId="0">
      <selection activeCell="C10" sqref="C10"/>
    </sheetView>
  </sheetViews>
  <sheetFormatPr baseColWidth="10" defaultRowHeight="15" x14ac:dyDescent="0.2"/>
  <cols>
    <col min="1" max="1" width="22.5" bestFit="1" customWidth="1"/>
    <col min="2" max="2" width="13.6640625" bestFit="1" customWidth="1"/>
    <col min="3" max="3" width="17.6640625" bestFit="1" customWidth="1"/>
    <col min="4" max="4" width="17.1640625" bestFit="1" customWidth="1"/>
    <col min="5" max="5" width="13" bestFit="1" customWidth="1"/>
    <col min="6" max="6" width="17.1640625" bestFit="1" customWidth="1"/>
    <col min="7" max="7" width="16.83203125" bestFit="1" customWidth="1"/>
    <col min="8" max="8" width="19.5" bestFit="1" customWidth="1"/>
    <col min="9" max="9" width="23.83203125" bestFit="1" customWidth="1"/>
    <col min="10" max="10" width="15.5" bestFit="1" customWidth="1"/>
  </cols>
  <sheetData>
    <row r="1" spans="1:10" x14ac:dyDescent="0.2">
      <c r="A1" s="26" t="s">
        <v>7</v>
      </c>
      <c r="B1" s="27" t="s">
        <v>1711</v>
      </c>
    </row>
    <row r="2" spans="1:10" x14ac:dyDescent="0.2">
      <c r="A2" s="26" t="s">
        <v>6</v>
      </c>
      <c r="B2" s="27" t="s">
        <v>1711</v>
      </c>
    </row>
    <row r="4" spans="1:10" x14ac:dyDescent="0.2">
      <c r="A4" s="4" t="s">
        <v>1696</v>
      </c>
      <c r="B4" s="28" t="s">
        <v>1712</v>
      </c>
      <c r="C4" s="29" t="s">
        <v>1713</v>
      </c>
      <c r="D4" s="5" t="s">
        <v>1716</v>
      </c>
      <c r="E4" s="30" t="s">
        <v>1698</v>
      </c>
      <c r="F4" s="30" t="s">
        <v>1714</v>
      </c>
      <c r="G4" s="5" t="s">
        <v>1717</v>
      </c>
      <c r="H4" s="31" t="s">
        <v>1699</v>
      </c>
      <c r="I4" s="31" t="s">
        <v>1715</v>
      </c>
      <c r="J4" s="6" t="s">
        <v>1718</v>
      </c>
    </row>
    <row r="5" spans="1:10" x14ac:dyDescent="0.2">
      <c r="A5" s="7" t="s">
        <v>20</v>
      </c>
      <c r="B5" s="17">
        <v>466</v>
      </c>
      <c r="C5" s="18">
        <v>380</v>
      </c>
      <c r="D5" s="18">
        <v>-86</v>
      </c>
      <c r="E5" s="18">
        <v>43</v>
      </c>
      <c r="F5" s="18">
        <v>37</v>
      </c>
      <c r="G5" s="18">
        <v>-6</v>
      </c>
      <c r="H5" s="18">
        <v>509</v>
      </c>
      <c r="I5" s="18">
        <v>417</v>
      </c>
      <c r="J5" s="19">
        <v>-92</v>
      </c>
    </row>
    <row r="6" spans="1:10" x14ac:dyDescent="0.2">
      <c r="A6" s="8" t="s">
        <v>18</v>
      </c>
      <c r="B6" s="20">
        <v>235</v>
      </c>
      <c r="C6" s="21">
        <v>276</v>
      </c>
      <c r="D6" s="21">
        <v>41</v>
      </c>
      <c r="E6" s="21">
        <v>53</v>
      </c>
      <c r="F6" s="21">
        <v>63</v>
      </c>
      <c r="G6" s="21">
        <v>10</v>
      </c>
      <c r="H6" s="21">
        <v>288</v>
      </c>
      <c r="I6" s="21">
        <v>339</v>
      </c>
      <c r="J6" s="22">
        <v>51</v>
      </c>
    </row>
    <row r="7" spans="1:10" x14ac:dyDescent="0.2">
      <c r="A7" s="8" t="s">
        <v>24</v>
      </c>
      <c r="B7" s="20">
        <v>710</v>
      </c>
      <c r="C7" s="21">
        <v>454</v>
      </c>
      <c r="D7" s="21">
        <v>-256</v>
      </c>
      <c r="E7" s="21">
        <v>138</v>
      </c>
      <c r="F7" s="21">
        <v>72</v>
      </c>
      <c r="G7" s="21">
        <v>-66</v>
      </c>
      <c r="H7" s="21">
        <v>848</v>
      </c>
      <c r="I7" s="21">
        <v>526</v>
      </c>
      <c r="J7" s="22">
        <v>-322</v>
      </c>
    </row>
    <row r="8" spans="1:10" x14ac:dyDescent="0.2">
      <c r="A8" s="8" t="s">
        <v>21</v>
      </c>
      <c r="B8" s="20">
        <v>29</v>
      </c>
      <c r="C8" s="21">
        <v>26</v>
      </c>
      <c r="D8" s="21">
        <v>-3</v>
      </c>
      <c r="E8" s="21">
        <v>11</v>
      </c>
      <c r="F8" s="21">
        <v>3</v>
      </c>
      <c r="G8" s="21">
        <v>-8</v>
      </c>
      <c r="H8" s="21">
        <v>40</v>
      </c>
      <c r="I8" s="21">
        <v>29</v>
      </c>
      <c r="J8" s="22">
        <v>-11</v>
      </c>
    </row>
    <row r="9" spans="1:10" x14ac:dyDescent="0.2">
      <c r="A9" s="8" t="s">
        <v>22</v>
      </c>
      <c r="B9" s="20">
        <v>427</v>
      </c>
      <c r="C9" s="21">
        <v>696</v>
      </c>
      <c r="D9" s="21">
        <v>269</v>
      </c>
      <c r="E9" s="21">
        <v>39</v>
      </c>
      <c r="F9" s="21">
        <v>51</v>
      </c>
      <c r="G9" s="21">
        <v>12</v>
      </c>
      <c r="H9" s="21">
        <v>466</v>
      </c>
      <c r="I9" s="21">
        <v>747</v>
      </c>
      <c r="J9" s="22">
        <v>281</v>
      </c>
    </row>
    <row r="10" spans="1:10" x14ac:dyDescent="0.2">
      <c r="A10" s="8" t="s">
        <v>23</v>
      </c>
      <c r="B10" s="20">
        <v>118</v>
      </c>
      <c r="C10" s="21">
        <v>109</v>
      </c>
      <c r="D10" s="21">
        <v>-9</v>
      </c>
      <c r="E10" s="21">
        <v>58</v>
      </c>
      <c r="F10" s="21">
        <v>29</v>
      </c>
      <c r="G10" s="21">
        <v>-29</v>
      </c>
      <c r="H10" s="21">
        <v>176</v>
      </c>
      <c r="I10" s="21">
        <v>138</v>
      </c>
      <c r="J10" s="22">
        <v>-38</v>
      </c>
    </row>
    <row r="11" spans="1:10" x14ac:dyDescent="0.2">
      <c r="A11" s="8" t="s">
        <v>19</v>
      </c>
      <c r="B11" s="20">
        <v>913</v>
      </c>
      <c r="C11" s="21">
        <v>1022</v>
      </c>
      <c r="D11" s="21">
        <v>109</v>
      </c>
      <c r="E11" s="21">
        <v>115</v>
      </c>
      <c r="F11" s="21">
        <v>116</v>
      </c>
      <c r="G11" s="21">
        <v>1</v>
      </c>
      <c r="H11" s="21">
        <v>1028</v>
      </c>
      <c r="I11" s="21">
        <v>1138</v>
      </c>
      <c r="J11" s="22">
        <v>110</v>
      </c>
    </row>
    <row r="12" spans="1:10" x14ac:dyDescent="0.2">
      <c r="A12" s="8" t="s">
        <v>25</v>
      </c>
      <c r="B12" s="20">
        <v>1</v>
      </c>
      <c r="C12" s="21">
        <v>0</v>
      </c>
      <c r="D12" s="21">
        <v>-1</v>
      </c>
      <c r="E12" s="21">
        <v>0</v>
      </c>
      <c r="F12" s="21">
        <v>0</v>
      </c>
      <c r="G12" s="21">
        <v>0</v>
      </c>
      <c r="H12" s="21">
        <v>1</v>
      </c>
      <c r="I12" s="21">
        <v>0</v>
      </c>
      <c r="J12" s="22">
        <v>-1</v>
      </c>
    </row>
    <row r="13" spans="1:10" x14ac:dyDescent="0.2">
      <c r="A13" s="9" t="s">
        <v>1697</v>
      </c>
      <c r="B13" s="23">
        <v>2899</v>
      </c>
      <c r="C13" s="24">
        <v>2963</v>
      </c>
      <c r="D13" s="24">
        <v>64</v>
      </c>
      <c r="E13" s="24">
        <v>457</v>
      </c>
      <c r="F13" s="24">
        <v>371</v>
      </c>
      <c r="G13" s="24">
        <v>-86</v>
      </c>
      <c r="H13" s="24">
        <v>3356</v>
      </c>
      <c r="I13" s="24">
        <v>3334</v>
      </c>
      <c r="J13" s="25"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5"/>
  <sheetViews>
    <sheetView tabSelected="1" zoomScale="130" zoomScaleNormal="130" workbookViewId="0">
      <selection activeCell="F12" sqref="F12"/>
    </sheetView>
  </sheetViews>
  <sheetFormatPr baseColWidth="10" defaultColWidth="8.83203125" defaultRowHeight="15" x14ac:dyDescent="0.2"/>
  <cols>
    <col min="3" max="3" width="10" customWidth="1"/>
    <col min="6" max="6" width="21.6640625" customWidth="1"/>
    <col min="7" max="7" width="5.5" hidden="1" customWidth="1"/>
    <col min="11" max="11" width="8.83203125" customWidth="1"/>
    <col min="12" max="12" width="7.5" customWidth="1"/>
    <col min="13" max="13" width="10" customWidth="1"/>
    <col min="21" max="21" width="9.83203125" style="14" bestFit="1" customWidth="1"/>
    <col min="22" max="22" width="9" style="14" bestFit="1" customWidth="1"/>
    <col min="23" max="24" width="8.83203125" style="16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1720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0" t="s">
        <v>1700</v>
      </c>
      <c r="O1" s="10" t="s">
        <v>1701</v>
      </c>
      <c r="P1" s="10" t="s">
        <v>1702</v>
      </c>
      <c r="Q1" s="10" t="s">
        <v>1703</v>
      </c>
      <c r="R1" s="10" t="s">
        <v>1704</v>
      </c>
      <c r="S1" s="10" t="s">
        <v>1705</v>
      </c>
      <c r="T1" s="12" t="s">
        <v>1710</v>
      </c>
      <c r="U1" s="13" t="s">
        <v>1706</v>
      </c>
      <c r="V1" s="13" t="s">
        <v>1707</v>
      </c>
      <c r="W1" s="15" t="s">
        <v>1708</v>
      </c>
      <c r="X1" s="15" t="s">
        <v>1709</v>
      </c>
    </row>
    <row r="2" spans="1:24" x14ac:dyDescent="0.2">
      <c r="A2" t="s">
        <v>12</v>
      </c>
      <c r="B2" t="s">
        <v>18</v>
      </c>
      <c r="C2" t="s">
        <v>30</v>
      </c>
      <c r="D2" t="s">
        <v>81</v>
      </c>
      <c r="E2" t="s">
        <v>81</v>
      </c>
      <c r="F2" s="10" t="s">
        <v>731</v>
      </c>
      <c r="G2" s="10"/>
      <c r="H2" t="s">
        <v>1669</v>
      </c>
      <c r="I2" t="s">
        <v>1670</v>
      </c>
      <c r="J2" t="s">
        <v>1673</v>
      </c>
      <c r="K2">
        <v>0</v>
      </c>
      <c r="L2">
        <v>0</v>
      </c>
      <c r="M2">
        <v>0</v>
      </c>
      <c r="N2">
        <v>60</v>
      </c>
      <c r="O2">
        <v>0</v>
      </c>
      <c r="P2">
        <v>60</v>
      </c>
      <c r="Q2">
        <f>N2-K2</f>
        <v>60</v>
      </c>
      <c r="R2">
        <f>O2-L2</f>
        <v>0</v>
      </c>
      <c r="S2">
        <f>P2-M2</f>
        <v>60</v>
      </c>
      <c r="T2">
        <v>158</v>
      </c>
      <c r="U2" s="14">
        <v>451895.70999999996</v>
      </c>
      <c r="V2" s="14">
        <v>413</v>
      </c>
      <c r="W2" s="16">
        <v>1.4605666387303234E-3</v>
      </c>
      <c r="X2" s="16">
        <v>7.4795534724687233E-4</v>
      </c>
    </row>
    <row r="3" spans="1:24" x14ac:dyDescent="0.2">
      <c r="A3" t="s">
        <v>15</v>
      </c>
      <c r="B3" t="s">
        <v>24</v>
      </c>
      <c r="C3" t="s">
        <v>58</v>
      </c>
      <c r="D3" t="s">
        <v>169</v>
      </c>
      <c r="E3" t="s">
        <v>517</v>
      </c>
      <c r="F3" t="s">
        <v>517</v>
      </c>
      <c r="G3" t="s">
        <v>1719</v>
      </c>
      <c r="H3" t="s">
        <v>1669</v>
      </c>
      <c r="I3" t="s">
        <v>1671</v>
      </c>
      <c r="J3" t="s">
        <v>1674</v>
      </c>
      <c r="K3">
        <v>0</v>
      </c>
      <c r="L3">
        <v>1</v>
      </c>
      <c r="M3">
        <v>1</v>
      </c>
      <c r="N3">
        <v>24</v>
      </c>
      <c r="O3">
        <v>6</v>
      </c>
      <c r="P3">
        <v>30</v>
      </c>
      <c r="Q3">
        <f>N3-K3</f>
        <v>24</v>
      </c>
      <c r="R3">
        <f>O3-L3</f>
        <v>5</v>
      </c>
      <c r="S3">
        <f>P3-M3</f>
        <v>29</v>
      </c>
      <c r="T3">
        <v>77</v>
      </c>
      <c r="U3" s="14">
        <v>194831.72999999998</v>
      </c>
      <c r="V3" s="14">
        <v>1023</v>
      </c>
      <c r="W3" s="16">
        <v>6.2971326947121027E-4</v>
      </c>
      <c r="X3" s="16">
        <v>1.8526835841006064E-3</v>
      </c>
    </row>
    <row r="4" spans="1:24" x14ac:dyDescent="0.2">
      <c r="A4" t="s">
        <v>14</v>
      </c>
      <c r="B4" s="35" t="s">
        <v>19</v>
      </c>
      <c r="C4" t="s">
        <v>52</v>
      </c>
      <c r="D4" t="s">
        <v>139</v>
      </c>
      <c r="E4" t="s">
        <v>391</v>
      </c>
      <c r="F4" t="s">
        <v>391</v>
      </c>
      <c r="H4" t="s">
        <v>1670</v>
      </c>
      <c r="I4" t="s">
        <v>1670</v>
      </c>
      <c r="J4" t="s">
        <v>1674</v>
      </c>
      <c r="K4">
        <v>6</v>
      </c>
      <c r="L4">
        <v>0</v>
      </c>
      <c r="M4">
        <v>6</v>
      </c>
      <c r="N4">
        <v>6</v>
      </c>
      <c r="O4">
        <v>0</v>
      </c>
      <c r="P4">
        <v>6</v>
      </c>
      <c r="Q4">
        <f>N4-K4</f>
        <v>0</v>
      </c>
      <c r="R4">
        <f>O4-L4</f>
        <v>0</v>
      </c>
      <c r="S4">
        <f>P4-M4</f>
        <v>0</v>
      </c>
      <c r="T4">
        <v>171</v>
      </c>
      <c r="U4" s="14">
        <v>4009610.8499999992</v>
      </c>
      <c r="V4" s="14">
        <v>6213</v>
      </c>
      <c r="W4" s="16">
        <v>1.2959414555630842E-2</v>
      </c>
      <c r="X4" s="16">
        <v>1.1251928746839753E-2</v>
      </c>
    </row>
    <row r="5" spans="1:24" x14ac:dyDescent="0.2">
      <c r="A5" t="s">
        <v>17</v>
      </c>
      <c r="B5" t="s">
        <v>23</v>
      </c>
      <c r="C5" t="s">
        <v>60</v>
      </c>
      <c r="D5" t="s">
        <v>173</v>
      </c>
      <c r="E5" t="s">
        <v>476</v>
      </c>
      <c r="F5" t="s">
        <v>1060</v>
      </c>
      <c r="H5" t="s">
        <v>1669</v>
      </c>
      <c r="I5" t="s">
        <v>1671</v>
      </c>
      <c r="J5" t="s">
        <v>1674</v>
      </c>
      <c r="K5">
        <v>10</v>
      </c>
      <c r="L5">
        <v>5</v>
      </c>
      <c r="M5">
        <v>15</v>
      </c>
      <c r="N5">
        <v>24</v>
      </c>
      <c r="O5">
        <v>12</v>
      </c>
      <c r="P5">
        <v>36</v>
      </c>
      <c r="Q5">
        <f>N5-K5</f>
        <v>14</v>
      </c>
      <c r="R5">
        <f>O5-L5</f>
        <v>7</v>
      </c>
      <c r="S5">
        <f>P5-M5</f>
        <v>21</v>
      </c>
      <c r="T5">
        <v>161</v>
      </c>
      <c r="U5" s="14">
        <v>335839.82</v>
      </c>
      <c r="V5" s="14">
        <v>1179</v>
      </c>
      <c r="W5" s="16">
        <v>1.0854638054634263E-3</v>
      </c>
      <c r="X5" s="16">
        <v>2.135204247951725E-3</v>
      </c>
    </row>
    <row r="6" spans="1:24" x14ac:dyDescent="0.2">
      <c r="A6" t="s">
        <v>15</v>
      </c>
      <c r="B6" t="s">
        <v>24</v>
      </c>
      <c r="C6" t="s">
        <v>58</v>
      </c>
      <c r="D6" t="s">
        <v>169</v>
      </c>
      <c r="E6" t="s">
        <v>514</v>
      </c>
      <c r="F6" s="10" t="s">
        <v>1188</v>
      </c>
      <c r="G6" s="10"/>
      <c r="H6" t="s">
        <v>1669</v>
      </c>
      <c r="I6" t="s">
        <v>1670</v>
      </c>
      <c r="J6" t="s">
        <v>1674</v>
      </c>
      <c r="K6">
        <v>0</v>
      </c>
      <c r="L6">
        <v>1</v>
      </c>
      <c r="M6">
        <v>1</v>
      </c>
      <c r="N6">
        <v>12</v>
      </c>
      <c r="O6">
        <v>6</v>
      </c>
      <c r="P6">
        <v>18</v>
      </c>
      <c r="Q6">
        <f>N6-K6</f>
        <v>12</v>
      </c>
      <c r="R6">
        <f>O6-L6</f>
        <v>5</v>
      </c>
      <c r="S6">
        <f>P6-M6</f>
        <v>17</v>
      </c>
      <c r="T6">
        <v>17</v>
      </c>
      <c r="U6" s="14">
        <v>30657.91</v>
      </c>
      <c r="V6" s="14">
        <v>130</v>
      </c>
      <c r="W6" s="16">
        <v>9.9089058754721912E-5</v>
      </c>
      <c r="X6" s="16">
        <v>2.3543388654259905E-4</v>
      </c>
    </row>
    <row r="7" spans="1:24" x14ac:dyDescent="0.2">
      <c r="A7" t="s">
        <v>13</v>
      </c>
      <c r="B7" t="s">
        <v>22</v>
      </c>
      <c r="C7" t="s">
        <v>41</v>
      </c>
      <c r="D7" t="s">
        <v>37</v>
      </c>
      <c r="E7" t="s">
        <v>98</v>
      </c>
      <c r="F7" s="11" t="s">
        <v>1251</v>
      </c>
      <c r="G7" s="11"/>
      <c r="H7" t="s">
        <v>1669</v>
      </c>
      <c r="I7" t="s">
        <v>1670</v>
      </c>
      <c r="J7" t="s">
        <v>1674</v>
      </c>
      <c r="K7">
        <v>0</v>
      </c>
      <c r="L7">
        <v>1</v>
      </c>
      <c r="M7">
        <v>1</v>
      </c>
      <c r="N7">
        <v>15</v>
      </c>
      <c r="O7">
        <v>3</v>
      </c>
      <c r="P7">
        <v>18</v>
      </c>
      <c r="Q7">
        <f>N7-K7</f>
        <v>15</v>
      </c>
      <c r="R7">
        <f>O7-L7</f>
        <v>2</v>
      </c>
      <c r="S7">
        <f>P7-M7</f>
        <v>17</v>
      </c>
      <c r="T7">
        <v>134</v>
      </c>
      <c r="U7" s="14">
        <v>374607.39000000019</v>
      </c>
      <c r="V7" s="14">
        <v>655</v>
      </c>
      <c r="W7" s="16">
        <v>1.2107639978610103E-3</v>
      </c>
      <c r="X7" s="16">
        <v>1.1862245821954028E-3</v>
      </c>
    </row>
    <row r="8" spans="1:24" x14ac:dyDescent="0.2">
      <c r="A8" t="s">
        <v>15</v>
      </c>
      <c r="B8" t="s">
        <v>24</v>
      </c>
      <c r="C8" t="s">
        <v>58</v>
      </c>
      <c r="D8" t="s">
        <v>150</v>
      </c>
      <c r="E8" t="s">
        <v>135</v>
      </c>
      <c r="F8" t="s">
        <v>967</v>
      </c>
      <c r="H8" t="s">
        <v>1669</v>
      </c>
      <c r="I8" t="s">
        <v>1671</v>
      </c>
      <c r="J8" t="s">
        <v>1674</v>
      </c>
      <c r="K8">
        <v>3</v>
      </c>
      <c r="L8">
        <v>1</v>
      </c>
      <c r="M8">
        <v>4</v>
      </c>
      <c r="N8">
        <v>16</v>
      </c>
      <c r="O8">
        <v>4</v>
      </c>
      <c r="P8">
        <v>20</v>
      </c>
      <c r="Q8">
        <f>N8-K8</f>
        <v>13</v>
      </c>
      <c r="R8">
        <f>O8-L8</f>
        <v>3</v>
      </c>
      <c r="S8">
        <f>P8-M8</f>
        <v>16</v>
      </c>
      <c r="T8">
        <v>97</v>
      </c>
      <c r="U8" s="14">
        <v>201169.35999999996</v>
      </c>
      <c r="V8" s="14">
        <v>942</v>
      </c>
      <c r="W8" s="16">
        <v>6.5019704646173857E-4</v>
      </c>
      <c r="X8" s="16">
        <v>1.7059901624856023E-3</v>
      </c>
    </row>
    <row r="9" spans="1:24" x14ac:dyDescent="0.2">
      <c r="A9" t="s">
        <v>13</v>
      </c>
      <c r="B9" t="s">
        <v>20</v>
      </c>
      <c r="C9" t="s">
        <v>33</v>
      </c>
      <c r="D9" t="s">
        <v>88</v>
      </c>
      <c r="E9" t="s">
        <v>301</v>
      </c>
      <c r="F9" s="11" t="s">
        <v>1345</v>
      </c>
      <c r="G9" s="11"/>
      <c r="H9" t="s">
        <v>1669</v>
      </c>
      <c r="I9" t="s">
        <v>1671</v>
      </c>
      <c r="J9" t="s">
        <v>1674</v>
      </c>
      <c r="K9">
        <v>0</v>
      </c>
      <c r="L9">
        <v>0</v>
      </c>
      <c r="M9">
        <v>0</v>
      </c>
      <c r="N9">
        <v>15</v>
      </c>
      <c r="O9">
        <v>0</v>
      </c>
      <c r="P9">
        <v>15</v>
      </c>
      <c r="Q9">
        <f>N9-K9</f>
        <v>15</v>
      </c>
      <c r="R9">
        <f>O9-L9</f>
        <v>0</v>
      </c>
      <c r="S9">
        <f>P9-M9</f>
        <v>15</v>
      </c>
      <c r="T9">
        <v>51</v>
      </c>
      <c r="U9" s="14">
        <v>3217246.7900000005</v>
      </c>
      <c r="V9" s="14">
        <v>1266</v>
      </c>
      <c r="W9" s="16">
        <v>1.0398424295809809E-2</v>
      </c>
      <c r="X9" s="16">
        <v>2.2927638489456184E-3</v>
      </c>
    </row>
    <row r="10" spans="1:24" x14ac:dyDescent="0.2">
      <c r="A10" t="s">
        <v>17</v>
      </c>
      <c r="B10" t="s">
        <v>23</v>
      </c>
      <c r="C10" t="s">
        <v>60</v>
      </c>
      <c r="D10" t="s">
        <v>173</v>
      </c>
      <c r="E10" t="s">
        <v>476</v>
      </c>
      <c r="F10" t="s">
        <v>1061</v>
      </c>
      <c r="H10" t="s">
        <v>1669</v>
      </c>
      <c r="I10" t="s">
        <v>1671</v>
      </c>
      <c r="J10" t="s">
        <v>1674</v>
      </c>
      <c r="K10">
        <v>2</v>
      </c>
      <c r="L10">
        <v>1</v>
      </c>
      <c r="M10">
        <v>3</v>
      </c>
      <c r="N10">
        <v>10</v>
      </c>
      <c r="O10">
        <v>5</v>
      </c>
      <c r="P10">
        <v>15</v>
      </c>
      <c r="Q10">
        <f>N10-K10</f>
        <v>8</v>
      </c>
      <c r="R10">
        <f>O10-L10</f>
        <v>4</v>
      </c>
      <c r="S10">
        <f>P10-M10</f>
        <v>12</v>
      </c>
      <c r="T10">
        <v>53</v>
      </c>
      <c r="U10" s="14">
        <v>199860.28</v>
      </c>
      <c r="V10" s="14">
        <v>339</v>
      </c>
      <c r="W10" s="16">
        <v>6.4596598488465687E-4</v>
      </c>
      <c r="X10" s="16">
        <v>6.13939134907239E-4</v>
      </c>
    </row>
    <row r="11" spans="1:24" x14ac:dyDescent="0.2">
      <c r="A11" t="s">
        <v>12</v>
      </c>
      <c r="B11" t="s">
        <v>18</v>
      </c>
      <c r="C11" t="s">
        <v>32</v>
      </c>
      <c r="D11" t="s">
        <v>83</v>
      </c>
      <c r="E11" t="s">
        <v>286</v>
      </c>
      <c r="F11" t="s">
        <v>1270</v>
      </c>
      <c r="H11" t="s">
        <v>1669</v>
      </c>
      <c r="I11" t="s">
        <v>1671</v>
      </c>
      <c r="J11" t="s">
        <v>1674</v>
      </c>
      <c r="K11">
        <v>0</v>
      </c>
      <c r="L11">
        <v>3</v>
      </c>
      <c r="M11">
        <v>3</v>
      </c>
      <c r="N11">
        <v>7</v>
      </c>
      <c r="O11">
        <v>7</v>
      </c>
      <c r="P11">
        <v>14</v>
      </c>
      <c r="Q11">
        <f>N11-K11</f>
        <v>7</v>
      </c>
      <c r="R11">
        <f>O11-L11</f>
        <v>4</v>
      </c>
      <c r="S11">
        <f>P11-M11</f>
        <v>11</v>
      </c>
      <c r="T11">
        <v>184</v>
      </c>
      <c r="U11" s="14">
        <v>684134.29999999981</v>
      </c>
      <c r="V11" s="14">
        <v>1457</v>
      </c>
      <c r="W11" s="16">
        <v>2.2111821663257712E-3</v>
      </c>
      <c r="X11" s="16">
        <v>2.6386705591735908E-3</v>
      </c>
    </row>
    <row r="12" spans="1:24" x14ac:dyDescent="0.2">
      <c r="A12" t="s">
        <v>16</v>
      </c>
      <c r="B12" t="s">
        <v>19</v>
      </c>
      <c r="C12" t="s">
        <v>42</v>
      </c>
      <c r="D12" t="s">
        <v>114</v>
      </c>
      <c r="E12" t="s">
        <v>627</v>
      </c>
      <c r="F12" t="s">
        <v>1538</v>
      </c>
      <c r="H12" t="s">
        <v>1669</v>
      </c>
      <c r="I12" t="s">
        <v>1671</v>
      </c>
      <c r="J12" t="s">
        <v>1674</v>
      </c>
      <c r="K12">
        <v>0</v>
      </c>
      <c r="L12">
        <v>0</v>
      </c>
      <c r="M12">
        <v>0</v>
      </c>
      <c r="N12">
        <v>8</v>
      </c>
      <c r="O12">
        <v>3</v>
      </c>
      <c r="P12">
        <v>11</v>
      </c>
      <c r="Q12">
        <f>N12-K12</f>
        <v>8</v>
      </c>
      <c r="R12">
        <f>O12-L12</f>
        <v>3</v>
      </c>
      <c r="S12">
        <f>P12-M12</f>
        <v>11</v>
      </c>
      <c r="T12">
        <v>52</v>
      </c>
      <c r="U12" s="14">
        <v>104460.9</v>
      </c>
      <c r="V12" s="14">
        <v>313</v>
      </c>
      <c r="W12" s="16">
        <v>3.3762680683944632E-4</v>
      </c>
      <c r="X12" s="16">
        <v>5.6685235759871926E-4</v>
      </c>
    </row>
    <row r="13" spans="1:24" x14ac:dyDescent="0.2">
      <c r="A13" t="s">
        <v>16</v>
      </c>
      <c r="B13" t="s">
        <v>22</v>
      </c>
      <c r="C13" t="s">
        <v>39</v>
      </c>
      <c r="D13" t="s">
        <v>204</v>
      </c>
      <c r="E13" t="s">
        <v>580</v>
      </c>
      <c r="F13" t="s">
        <v>1294</v>
      </c>
      <c r="H13" t="s">
        <v>1669</v>
      </c>
      <c r="I13" t="s">
        <v>1671</v>
      </c>
      <c r="J13" t="s">
        <v>1674</v>
      </c>
      <c r="K13">
        <v>0</v>
      </c>
      <c r="L13">
        <v>1</v>
      </c>
      <c r="M13">
        <v>1</v>
      </c>
      <c r="N13">
        <v>10</v>
      </c>
      <c r="O13">
        <v>2</v>
      </c>
      <c r="P13">
        <v>12</v>
      </c>
      <c r="Q13">
        <f>N13-K13</f>
        <v>10</v>
      </c>
      <c r="R13">
        <f>O13-L13</f>
        <v>1</v>
      </c>
      <c r="S13">
        <f>P13-M13</f>
        <v>11</v>
      </c>
      <c r="T13">
        <v>5</v>
      </c>
      <c r="U13" s="14">
        <v>14463</v>
      </c>
      <c r="V13" s="14">
        <v>11</v>
      </c>
      <c r="W13" s="16">
        <v>4.6745686733686119E-5</v>
      </c>
      <c r="X13" s="16">
        <v>1.9921328861296842E-5</v>
      </c>
    </row>
    <row r="14" spans="1:24" x14ac:dyDescent="0.2">
      <c r="A14" t="s">
        <v>15</v>
      </c>
      <c r="B14" t="s">
        <v>24</v>
      </c>
      <c r="C14" t="s">
        <v>58</v>
      </c>
      <c r="D14" t="s">
        <v>149</v>
      </c>
      <c r="E14" t="s">
        <v>413</v>
      </c>
      <c r="F14" t="s">
        <v>1163</v>
      </c>
      <c r="H14" t="s">
        <v>1669</v>
      </c>
      <c r="I14" t="s">
        <v>1670</v>
      </c>
      <c r="J14" t="s">
        <v>1674</v>
      </c>
      <c r="K14">
        <v>0</v>
      </c>
      <c r="L14">
        <v>3</v>
      </c>
      <c r="M14">
        <v>3</v>
      </c>
      <c r="N14">
        <v>12</v>
      </c>
      <c r="O14">
        <v>2</v>
      </c>
      <c r="P14">
        <v>14</v>
      </c>
      <c r="Q14">
        <f>N14-K14</f>
        <v>12</v>
      </c>
      <c r="R14">
        <f>O14-L14</f>
        <v>-1</v>
      </c>
      <c r="S14">
        <f>P14-M14</f>
        <v>11</v>
      </c>
      <c r="T14">
        <v>3</v>
      </c>
      <c r="U14" s="14">
        <v>1166</v>
      </c>
      <c r="V14" s="14">
        <v>8</v>
      </c>
      <c r="W14" s="16">
        <v>3.7686144459294764E-6</v>
      </c>
      <c r="X14" s="16">
        <v>1.4488239171852249E-5</v>
      </c>
    </row>
    <row r="15" spans="1:24" x14ac:dyDescent="0.2">
      <c r="A15" t="s">
        <v>16</v>
      </c>
      <c r="B15" t="s">
        <v>22</v>
      </c>
      <c r="C15" t="s">
        <v>46</v>
      </c>
      <c r="D15" t="s">
        <v>195</v>
      </c>
      <c r="E15" t="s">
        <v>544</v>
      </c>
      <c r="F15" t="s">
        <v>1441</v>
      </c>
      <c r="G15" t="s">
        <v>1719</v>
      </c>
      <c r="H15" t="s">
        <v>1669</v>
      </c>
      <c r="I15" t="s">
        <v>1672</v>
      </c>
      <c r="J15" t="s">
        <v>1674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>N15-K15</f>
        <v>0</v>
      </c>
      <c r="R15">
        <f>O15-L15</f>
        <v>0</v>
      </c>
      <c r="S15">
        <f>P15-M15</f>
        <v>0</v>
      </c>
      <c r="T15">
        <v>13</v>
      </c>
      <c r="U15" s="14">
        <v>45827.9</v>
      </c>
      <c r="V15" s="14">
        <v>1589</v>
      </c>
      <c r="W15" s="16">
        <v>1.4811979928525853E-4</v>
      </c>
      <c r="X15" s="16">
        <v>2.8777265055091529E-3</v>
      </c>
    </row>
    <row r="16" spans="1:24" x14ac:dyDescent="0.2">
      <c r="A16" t="s">
        <v>12</v>
      </c>
      <c r="B16" t="s">
        <v>19</v>
      </c>
      <c r="C16" t="s">
        <v>28</v>
      </c>
      <c r="D16" t="s">
        <v>73</v>
      </c>
      <c r="E16" t="s">
        <v>528</v>
      </c>
      <c r="F16" t="s">
        <v>528</v>
      </c>
      <c r="H16" t="s">
        <v>1669</v>
      </c>
      <c r="I16" t="s">
        <v>1671</v>
      </c>
      <c r="J16" t="s">
        <v>1673</v>
      </c>
      <c r="K16">
        <v>0</v>
      </c>
      <c r="L16">
        <v>3</v>
      </c>
      <c r="M16">
        <v>3</v>
      </c>
      <c r="N16">
        <v>7</v>
      </c>
      <c r="O16">
        <v>6</v>
      </c>
      <c r="P16">
        <v>13</v>
      </c>
      <c r="Q16">
        <f>N16-K16</f>
        <v>7</v>
      </c>
      <c r="R16">
        <f>O16-L16</f>
        <v>3</v>
      </c>
      <c r="S16">
        <f>P16-M16</f>
        <v>10</v>
      </c>
      <c r="T16">
        <v>44</v>
      </c>
      <c r="U16" s="14">
        <v>113866.83000000002</v>
      </c>
      <c r="V16" s="14">
        <v>953</v>
      </c>
      <c r="W16" s="16">
        <v>3.6802759901389013E-4</v>
      </c>
      <c r="X16" s="16">
        <v>1.7259114913468993E-3</v>
      </c>
    </row>
    <row r="17" spans="1:24" x14ac:dyDescent="0.2">
      <c r="A17" t="s">
        <v>13</v>
      </c>
      <c r="B17" t="s">
        <v>20</v>
      </c>
      <c r="C17" t="s">
        <v>38</v>
      </c>
      <c r="D17" t="s">
        <v>101</v>
      </c>
      <c r="E17" t="s">
        <v>542</v>
      </c>
      <c r="F17" t="s">
        <v>1316</v>
      </c>
      <c r="H17" t="s">
        <v>1669</v>
      </c>
      <c r="I17" t="s">
        <v>1670</v>
      </c>
      <c r="J17" t="s">
        <v>1674</v>
      </c>
      <c r="K17">
        <v>0</v>
      </c>
      <c r="L17">
        <v>5</v>
      </c>
      <c r="M17">
        <v>5</v>
      </c>
      <c r="N17">
        <v>10</v>
      </c>
      <c r="O17">
        <v>5</v>
      </c>
      <c r="P17">
        <v>15</v>
      </c>
      <c r="Q17">
        <f>N17-K17</f>
        <v>10</v>
      </c>
      <c r="R17">
        <f>O17-L17</f>
        <v>0</v>
      </c>
      <c r="S17">
        <f>P17-M17</f>
        <v>10</v>
      </c>
      <c r="T17">
        <v>244</v>
      </c>
      <c r="U17" s="14">
        <v>211883.53</v>
      </c>
      <c r="V17" s="14">
        <v>433</v>
      </c>
      <c r="W17" s="16">
        <v>6.8482618525946102E-4</v>
      </c>
      <c r="X17" s="16">
        <v>7.8417594517650295E-4</v>
      </c>
    </row>
    <row r="18" spans="1:24" x14ac:dyDescent="0.2">
      <c r="A18" t="s">
        <v>13</v>
      </c>
      <c r="B18" t="s">
        <v>20</v>
      </c>
      <c r="C18" t="s">
        <v>33</v>
      </c>
      <c r="D18" t="s">
        <v>87</v>
      </c>
      <c r="E18" t="s">
        <v>297</v>
      </c>
      <c r="F18" t="s">
        <v>1328</v>
      </c>
      <c r="H18" t="s">
        <v>1669</v>
      </c>
      <c r="I18" t="s">
        <v>1671</v>
      </c>
      <c r="J18" t="s">
        <v>1674</v>
      </c>
      <c r="K18">
        <v>0</v>
      </c>
      <c r="L18">
        <v>0</v>
      </c>
      <c r="M18">
        <v>0</v>
      </c>
      <c r="N18">
        <v>10</v>
      </c>
      <c r="O18">
        <v>0</v>
      </c>
      <c r="P18">
        <v>10</v>
      </c>
      <c r="Q18">
        <f>N18-K18</f>
        <v>10</v>
      </c>
      <c r="R18">
        <f>O18-L18</f>
        <v>0</v>
      </c>
      <c r="S18">
        <f>P18-M18</f>
        <v>10</v>
      </c>
      <c r="T18">
        <v>31</v>
      </c>
      <c r="U18" s="14">
        <v>166563.31999999998</v>
      </c>
      <c r="V18" s="14">
        <v>179</v>
      </c>
      <c r="W18" s="16">
        <v>5.3834728466035508E-4</v>
      </c>
      <c r="X18" s="16">
        <v>3.2417435147019408E-4</v>
      </c>
    </row>
    <row r="19" spans="1:24" x14ac:dyDescent="0.2">
      <c r="A19" t="s">
        <v>12</v>
      </c>
      <c r="B19" s="35" t="s">
        <v>19</v>
      </c>
      <c r="C19" t="s">
        <v>28</v>
      </c>
      <c r="D19" t="s">
        <v>72</v>
      </c>
      <c r="E19" t="s">
        <v>265</v>
      </c>
      <c r="F19" t="s">
        <v>718</v>
      </c>
      <c r="H19" t="s">
        <v>1670</v>
      </c>
      <c r="I19" t="s">
        <v>1670</v>
      </c>
      <c r="J19" t="s">
        <v>1674</v>
      </c>
      <c r="K19">
        <v>23</v>
      </c>
      <c r="L19">
        <v>0</v>
      </c>
      <c r="M19">
        <v>23</v>
      </c>
      <c r="N19">
        <v>23</v>
      </c>
      <c r="O19">
        <v>0</v>
      </c>
      <c r="P19">
        <v>23</v>
      </c>
      <c r="Q19">
        <f>N19-K19</f>
        <v>0</v>
      </c>
      <c r="R19">
        <f>O19-L19</f>
        <v>0</v>
      </c>
      <c r="S19">
        <f>P19-M19</f>
        <v>0</v>
      </c>
      <c r="T19">
        <v>711</v>
      </c>
      <c r="U19" s="14">
        <v>3516232.959999999</v>
      </c>
      <c r="V19" s="14">
        <v>7423</v>
      </c>
      <c r="W19" s="16">
        <v>1.1364773866474578E-2</v>
      </c>
      <c r="X19" s="16">
        <v>1.3443274921582406E-2</v>
      </c>
    </row>
    <row r="20" spans="1:24" x14ac:dyDescent="0.2">
      <c r="A20" t="s">
        <v>14</v>
      </c>
      <c r="B20" s="35" t="s">
        <v>19</v>
      </c>
      <c r="C20" t="s">
        <v>44</v>
      </c>
      <c r="D20" t="s">
        <v>118</v>
      </c>
      <c r="E20" t="s">
        <v>361</v>
      </c>
      <c r="F20" t="s">
        <v>870</v>
      </c>
      <c r="H20" t="s">
        <v>1670</v>
      </c>
      <c r="I20" t="s">
        <v>1671</v>
      </c>
      <c r="J20" t="s">
        <v>1674</v>
      </c>
      <c r="K20">
        <v>5</v>
      </c>
      <c r="L20">
        <v>0</v>
      </c>
      <c r="M20">
        <v>5</v>
      </c>
      <c r="N20">
        <v>5</v>
      </c>
      <c r="O20">
        <v>0</v>
      </c>
      <c r="P20">
        <v>5</v>
      </c>
      <c r="Q20">
        <f>N20-K20</f>
        <v>0</v>
      </c>
      <c r="R20">
        <f>O20-L20</f>
        <v>0</v>
      </c>
      <c r="S20">
        <f>P20-M20</f>
        <v>0</v>
      </c>
      <c r="T20">
        <v>73</v>
      </c>
      <c r="U20" s="14">
        <v>3214075.0900000003</v>
      </c>
      <c r="V20" s="14">
        <v>2584</v>
      </c>
      <c r="W20" s="16">
        <v>1.0388173082741066E-2</v>
      </c>
      <c r="X20" s="16">
        <v>4.6797012525082761E-3</v>
      </c>
    </row>
    <row r="21" spans="1:24" x14ac:dyDescent="0.2">
      <c r="A21" t="s">
        <v>14</v>
      </c>
      <c r="B21" s="35" t="s">
        <v>19</v>
      </c>
      <c r="C21" t="s">
        <v>42</v>
      </c>
      <c r="D21" t="s">
        <v>109</v>
      </c>
      <c r="E21" t="s">
        <v>349</v>
      </c>
      <c r="F21" t="s">
        <v>349</v>
      </c>
      <c r="H21" t="s">
        <v>1670</v>
      </c>
      <c r="I21" t="s">
        <v>1670</v>
      </c>
      <c r="J21" t="s">
        <v>1674</v>
      </c>
      <c r="K21">
        <v>10</v>
      </c>
      <c r="L21">
        <v>0</v>
      </c>
      <c r="M21">
        <v>10</v>
      </c>
      <c r="N21">
        <v>10</v>
      </c>
      <c r="O21">
        <v>0</v>
      </c>
      <c r="P21">
        <v>10</v>
      </c>
      <c r="Q21">
        <f>N21-K21</f>
        <v>0</v>
      </c>
      <c r="R21">
        <f>O21-L21</f>
        <v>0</v>
      </c>
      <c r="S21">
        <f>P21-M21</f>
        <v>0</v>
      </c>
      <c r="T21">
        <v>51</v>
      </c>
      <c r="U21" s="14">
        <v>3123162.3799999994</v>
      </c>
      <c r="V21" s="14">
        <v>7663</v>
      </c>
      <c r="W21" s="16">
        <v>1.0094335216339179E-2</v>
      </c>
      <c r="X21" s="16">
        <v>1.3877922096737973E-2</v>
      </c>
    </row>
    <row r="22" spans="1:24" x14ac:dyDescent="0.2">
      <c r="A22" t="s">
        <v>14</v>
      </c>
      <c r="B22" s="35" t="s">
        <v>19</v>
      </c>
      <c r="C22" t="s">
        <v>42</v>
      </c>
      <c r="D22" t="s">
        <v>109</v>
      </c>
      <c r="E22" t="s">
        <v>346</v>
      </c>
      <c r="F22" t="s">
        <v>346</v>
      </c>
      <c r="H22" t="s">
        <v>1670</v>
      </c>
      <c r="I22" t="s">
        <v>1670</v>
      </c>
      <c r="J22" t="s">
        <v>1674</v>
      </c>
      <c r="K22">
        <v>49</v>
      </c>
      <c r="L22">
        <v>0</v>
      </c>
      <c r="M22">
        <v>49</v>
      </c>
      <c r="N22">
        <v>49</v>
      </c>
      <c r="O22">
        <v>0</v>
      </c>
      <c r="P22">
        <v>49</v>
      </c>
      <c r="Q22">
        <f>N22-K22</f>
        <v>0</v>
      </c>
      <c r="R22">
        <f>O22-L22</f>
        <v>0</v>
      </c>
      <c r="S22">
        <f>P22-M22</f>
        <v>0</v>
      </c>
      <c r="T22">
        <v>109</v>
      </c>
      <c r="U22" s="14">
        <v>2722137.3499999992</v>
      </c>
      <c r="V22" s="14">
        <v>5855</v>
      </c>
      <c r="W22" s="16">
        <v>8.7981870849178218E-3</v>
      </c>
      <c r="X22" s="16">
        <v>1.0603580043899365E-2</v>
      </c>
    </row>
    <row r="23" spans="1:24" x14ac:dyDescent="0.2">
      <c r="A23" t="s">
        <v>13</v>
      </c>
      <c r="B23" t="s">
        <v>20</v>
      </c>
      <c r="C23" t="s">
        <v>38</v>
      </c>
      <c r="D23" t="s">
        <v>101</v>
      </c>
      <c r="E23" t="s">
        <v>335</v>
      </c>
      <c r="F23" t="s">
        <v>1653</v>
      </c>
      <c r="H23" t="s">
        <v>1669</v>
      </c>
      <c r="I23" t="s">
        <v>1670</v>
      </c>
      <c r="J23" t="s">
        <v>1674</v>
      </c>
      <c r="K23">
        <v>0</v>
      </c>
      <c r="L23">
        <v>0</v>
      </c>
      <c r="M23">
        <v>0</v>
      </c>
      <c r="N23">
        <v>10</v>
      </c>
      <c r="O23">
        <v>0</v>
      </c>
      <c r="P23">
        <v>10</v>
      </c>
      <c r="Q23">
        <f>N23-K23</f>
        <v>10</v>
      </c>
      <c r="R23">
        <f>O23-L23</f>
        <v>0</v>
      </c>
      <c r="S23">
        <f>P23-M23</f>
        <v>10</v>
      </c>
      <c r="T23">
        <v>0</v>
      </c>
      <c r="U23" s="14">
        <v>0</v>
      </c>
      <c r="V23" s="14">
        <v>0</v>
      </c>
      <c r="W23" s="16">
        <v>0</v>
      </c>
      <c r="X23" s="16">
        <v>0</v>
      </c>
    </row>
    <row r="24" spans="1:24" x14ac:dyDescent="0.2">
      <c r="A24" t="s">
        <v>17</v>
      </c>
      <c r="B24" t="s">
        <v>24</v>
      </c>
      <c r="C24" t="s">
        <v>49</v>
      </c>
      <c r="D24" t="s">
        <v>152</v>
      </c>
      <c r="E24" t="s">
        <v>482</v>
      </c>
      <c r="F24" t="s">
        <v>1073</v>
      </c>
      <c r="H24" t="s">
        <v>1669</v>
      </c>
      <c r="I24" t="s">
        <v>1671</v>
      </c>
      <c r="J24" t="s">
        <v>1674</v>
      </c>
      <c r="K24">
        <v>1</v>
      </c>
      <c r="L24">
        <v>3</v>
      </c>
      <c r="M24">
        <v>4</v>
      </c>
      <c r="N24">
        <v>14</v>
      </c>
      <c r="O24">
        <v>0</v>
      </c>
      <c r="P24">
        <v>14</v>
      </c>
      <c r="Q24">
        <f>N24-K24</f>
        <v>13</v>
      </c>
      <c r="R24">
        <f>O24-L24</f>
        <v>-3</v>
      </c>
      <c r="S24">
        <f>P24-M24</f>
        <v>10</v>
      </c>
      <c r="T24">
        <v>96</v>
      </c>
      <c r="U24" s="14">
        <v>134631.27000000002</v>
      </c>
      <c r="V24" s="14">
        <v>741</v>
      </c>
      <c r="W24" s="16">
        <v>4.3514009347841493E-4</v>
      </c>
      <c r="X24" s="16">
        <v>1.3419731532928146E-3</v>
      </c>
    </row>
    <row r="25" spans="1:24" x14ac:dyDescent="0.2">
      <c r="A25" t="s">
        <v>13</v>
      </c>
      <c r="B25" t="s">
        <v>20</v>
      </c>
      <c r="C25" t="s">
        <v>38</v>
      </c>
      <c r="D25" t="s">
        <v>101</v>
      </c>
      <c r="E25" t="s">
        <v>335</v>
      </c>
      <c r="F25" t="s">
        <v>841</v>
      </c>
      <c r="H25" t="s">
        <v>1669</v>
      </c>
      <c r="I25" t="s">
        <v>1670</v>
      </c>
      <c r="J25" t="s">
        <v>1674</v>
      </c>
      <c r="K25">
        <v>1</v>
      </c>
      <c r="L25">
        <v>0</v>
      </c>
      <c r="M25">
        <v>1</v>
      </c>
      <c r="N25">
        <v>10</v>
      </c>
      <c r="O25">
        <v>0</v>
      </c>
      <c r="P25">
        <v>10</v>
      </c>
      <c r="Q25">
        <f>N25-K25</f>
        <v>9</v>
      </c>
      <c r="R25">
        <f>O25-L25</f>
        <v>0</v>
      </c>
      <c r="S25">
        <f>P25-M25</f>
        <v>9</v>
      </c>
      <c r="T25">
        <v>0</v>
      </c>
      <c r="U25" s="14">
        <v>0</v>
      </c>
      <c r="V25" s="14">
        <v>0</v>
      </c>
      <c r="W25" s="16">
        <v>0</v>
      </c>
      <c r="X25" s="16">
        <v>0</v>
      </c>
    </row>
    <row r="26" spans="1:24" x14ac:dyDescent="0.2">
      <c r="A26" t="s">
        <v>12</v>
      </c>
      <c r="B26" t="s">
        <v>18</v>
      </c>
      <c r="C26" t="s">
        <v>32</v>
      </c>
      <c r="D26" t="s">
        <v>83</v>
      </c>
      <c r="E26" t="s">
        <v>288</v>
      </c>
      <c r="F26" t="s">
        <v>745</v>
      </c>
      <c r="H26" t="s">
        <v>1669</v>
      </c>
      <c r="I26" t="s">
        <v>1670</v>
      </c>
      <c r="J26" t="s">
        <v>1674</v>
      </c>
      <c r="K26">
        <v>2</v>
      </c>
      <c r="L26">
        <v>1</v>
      </c>
      <c r="M26">
        <v>3</v>
      </c>
      <c r="N26">
        <v>6</v>
      </c>
      <c r="O26">
        <v>5</v>
      </c>
      <c r="P26">
        <v>11</v>
      </c>
      <c r="Q26">
        <f>N26-K26</f>
        <v>4</v>
      </c>
      <c r="R26">
        <f>O26-L26</f>
        <v>4</v>
      </c>
      <c r="S26">
        <f>P26-M26</f>
        <v>8</v>
      </c>
      <c r="T26">
        <v>107</v>
      </c>
      <c r="U26" s="14">
        <v>326046.0199999999</v>
      </c>
      <c r="V26" s="14">
        <v>1112</v>
      </c>
      <c r="W26" s="16">
        <v>1.053809383370335E-3</v>
      </c>
      <c r="X26" s="16">
        <v>2.0138652448874624E-3</v>
      </c>
    </row>
    <row r="27" spans="1:24" x14ac:dyDescent="0.2">
      <c r="A27" t="s">
        <v>15</v>
      </c>
      <c r="B27" t="s">
        <v>24</v>
      </c>
      <c r="C27" t="s">
        <v>58</v>
      </c>
      <c r="D27" t="s">
        <v>169</v>
      </c>
      <c r="E27" t="s">
        <v>514</v>
      </c>
      <c r="F27" t="s">
        <v>1137</v>
      </c>
      <c r="H27" t="s">
        <v>1669</v>
      </c>
      <c r="I27" t="s">
        <v>1670</v>
      </c>
      <c r="J27" t="s">
        <v>1674</v>
      </c>
      <c r="K27">
        <v>0</v>
      </c>
      <c r="L27">
        <v>1</v>
      </c>
      <c r="M27">
        <v>1</v>
      </c>
      <c r="N27">
        <v>5</v>
      </c>
      <c r="O27">
        <v>4</v>
      </c>
      <c r="P27">
        <v>9</v>
      </c>
      <c r="Q27">
        <f>N27-K27</f>
        <v>5</v>
      </c>
      <c r="R27">
        <f>O27-L27</f>
        <v>3</v>
      </c>
      <c r="S27">
        <f>P27-M27</f>
        <v>8</v>
      </c>
      <c r="T27">
        <v>78</v>
      </c>
      <c r="U27" s="14">
        <v>248091.72999999998</v>
      </c>
      <c r="V27" s="14">
        <v>1890</v>
      </c>
      <c r="W27" s="16">
        <v>8.018542689482291E-4</v>
      </c>
      <c r="X27" s="16">
        <v>3.4228465043500936E-3</v>
      </c>
    </row>
    <row r="28" spans="1:24" x14ac:dyDescent="0.2">
      <c r="A28" t="s">
        <v>16</v>
      </c>
      <c r="B28" s="2" t="s">
        <v>22</v>
      </c>
      <c r="C28" s="2" t="s">
        <v>39</v>
      </c>
      <c r="D28" s="2" t="s">
        <v>162</v>
      </c>
      <c r="E28" s="2" t="s">
        <v>456</v>
      </c>
      <c r="F28" s="2" t="s">
        <v>1686</v>
      </c>
      <c r="G28" s="2"/>
      <c r="H28" t="s">
        <v>1669</v>
      </c>
      <c r="I28" s="3">
        <v>0</v>
      </c>
      <c r="J28" t="s">
        <v>1674</v>
      </c>
      <c r="K28">
        <v>1</v>
      </c>
      <c r="L28">
        <v>0</v>
      </c>
      <c r="M28">
        <v>1</v>
      </c>
      <c r="N28">
        <v>6</v>
      </c>
      <c r="O28">
        <v>3</v>
      </c>
      <c r="P28">
        <v>9</v>
      </c>
      <c r="Q28">
        <f>N28-K28</f>
        <v>5</v>
      </c>
      <c r="R28">
        <f>O28-L28</f>
        <v>3</v>
      </c>
      <c r="S28">
        <f>P28-M28</f>
        <v>8</v>
      </c>
      <c r="T28">
        <v>0</v>
      </c>
      <c r="U28" s="14">
        <v>0</v>
      </c>
      <c r="V28" s="14">
        <v>0</v>
      </c>
      <c r="W28" s="16">
        <v>0</v>
      </c>
      <c r="X28" s="16">
        <v>0</v>
      </c>
    </row>
    <row r="29" spans="1:24" x14ac:dyDescent="0.2">
      <c r="A29" t="s">
        <v>12</v>
      </c>
      <c r="B29" t="s">
        <v>19</v>
      </c>
      <c r="C29" t="s">
        <v>28</v>
      </c>
      <c r="D29" t="s">
        <v>72</v>
      </c>
      <c r="E29" t="s">
        <v>265</v>
      </c>
      <c r="F29" t="s">
        <v>1168</v>
      </c>
      <c r="H29" t="s">
        <v>1669</v>
      </c>
      <c r="I29" t="s">
        <v>1670</v>
      </c>
      <c r="J29" t="s">
        <v>1674</v>
      </c>
      <c r="K29">
        <v>0</v>
      </c>
      <c r="L29">
        <v>1</v>
      </c>
      <c r="M29">
        <v>1</v>
      </c>
      <c r="N29">
        <v>6</v>
      </c>
      <c r="O29">
        <v>3</v>
      </c>
      <c r="P29">
        <v>9</v>
      </c>
      <c r="Q29">
        <f>N29-K29</f>
        <v>6</v>
      </c>
      <c r="R29">
        <f>O29-L29</f>
        <v>2</v>
      </c>
      <c r="S29">
        <f>P29-M29</f>
        <v>8</v>
      </c>
      <c r="T29">
        <v>18</v>
      </c>
      <c r="U29" s="14">
        <v>108462.51000000001</v>
      </c>
      <c r="V29" s="14">
        <v>266</v>
      </c>
      <c r="W29" s="16">
        <v>3.505603619449145E-4</v>
      </c>
      <c r="X29" s="16">
        <v>4.8173395246408729E-4</v>
      </c>
    </row>
    <row r="30" spans="1:24" x14ac:dyDescent="0.2">
      <c r="A30" t="s">
        <v>15</v>
      </c>
      <c r="B30" t="s">
        <v>24</v>
      </c>
      <c r="C30" t="s">
        <v>58</v>
      </c>
      <c r="D30" t="s">
        <v>148</v>
      </c>
      <c r="E30" t="s">
        <v>407</v>
      </c>
      <c r="F30" t="s">
        <v>943</v>
      </c>
      <c r="H30" t="s">
        <v>1669</v>
      </c>
      <c r="I30" t="s">
        <v>1670</v>
      </c>
      <c r="J30" t="s">
        <v>1674</v>
      </c>
      <c r="K30">
        <v>2</v>
      </c>
      <c r="L30">
        <v>1</v>
      </c>
      <c r="M30">
        <v>3</v>
      </c>
      <c r="N30">
        <v>9</v>
      </c>
      <c r="O30">
        <v>2</v>
      </c>
      <c r="P30">
        <v>11</v>
      </c>
      <c r="Q30">
        <f>N30-K30</f>
        <v>7</v>
      </c>
      <c r="R30">
        <f>O30-L30</f>
        <v>1</v>
      </c>
      <c r="S30">
        <f>P30-M30</f>
        <v>8</v>
      </c>
      <c r="T30">
        <v>35</v>
      </c>
      <c r="U30" s="14">
        <v>213601.14999999997</v>
      </c>
      <c r="V30" s="14">
        <v>1219</v>
      </c>
      <c r="W30" s="16">
        <v>6.9037768401127681E-4</v>
      </c>
      <c r="X30" s="16">
        <v>2.2076454438109865E-3</v>
      </c>
    </row>
    <row r="31" spans="1:24" x14ac:dyDescent="0.2">
      <c r="A31" t="s">
        <v>13</v>
      </c>
      <c r="B31" t="s">
        <v>20</v>
      </c>
      <c r="C31" t="s">
        <v>33</v>
      </c>
      <c r="D31" t="s">
        <v>87</v>
      </c>
      <c r="E31" t="s">
        <v>297</v>
      </c>
      <c r="F31" t="s">
        <v>768</v>
      </c>
      <c r="H31" t="s">
        <v>1669</v>
      </c>
      <c r="I31" t="s">
        <v>1670</v>
      </c>
      <c r="J31" t="s">
        <v>1674</v>
      </c>
      <c r="K31">
        <v>7</v>
      </c>
      <c r="L31">
        <v>1</v>
      </c>
      <c r="M31">
        <v>8</v>
      </c>
      <c r="N31">
        <v>15</v>
      </c>
      <c r="O31">
        <v>1</v>
      </c>
      <c r="P31">
        <v>16</v>
      </c>
      <c r="Q31">
        <f>N31-K31</f>
        <v>8</v>
      </c>
      <c r="R31">
        <f>O31-L31</f>
        <v>0</v>
      </c>
      <c r="S31">
        <f>P31-M31</f>
        <v>8</v>
      </c>
      <c r="T31">
        <v>67</v>
      </c>
      <c r="U31" s="14">
        <v>530622.71</v>
      </c>
      <c r="V31" s="14">
        <v>246</v>
      </c>
      <c r="W31" s="16">
        <v>1.7150192197635051E-3</v>
      </c>
      <c r="X31" s="16">
        <v>4.4551335453445667E-4</v>
      </c>
    </row>
    <row r="32" spans="1:24" x14ac:dyDescent="0.2">
      <c r="A32" t="s">
        <v>14</v>
      </c>
      <c r="B32" s="35" t="s">
        <v>19</v>
      </c>
      <c r="C32" t="s">
        <v>53</v>
      </c>
      <c r="D32" t="s">
        <v>141</v>
      </c>
      <c r="E32" t="s">
        <v>393</v>
      </c>
      <c r="F32" t="s">
        <v>914</v>
      </c>
      <c r="H32" t="s">
        <v>1670</v>
      </c>
      <c r="I32" t="s">
        <v>1670</v>
      </c>
      <c r="J32" t="s">
        <v>1674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f>N32-K32</f>
        <v>0</v>
      </c>
      <c r="R32">
        <f>O32-L32</f>
        <v>0</v>
      </c>
      <c r="S32">
        <f>P32-M32</f>
        <v>0</v>
      </c>
      <c r="T32">
        <v>30</v>
      </c>
      <c r="U32" s="14">
        <v>2560712.6600000006</v>
      </c>
      <c r="V32" s="14">
        <v>2516</v>
      </c>
      <c r="W32" s="16">
        <v>8.276448303902657E-3</v>
      </c>
      <c r="X32" s="16">
        <v>4.5565512195475319E-3</v>
      </c>
    </row>
    <row r="33" spans="1:24" x14ac:dyDescent="0.2">
      <c r="A33" t="s">
        <v>15</v>
      </c>
      <c r="B33" t="s">
        <v>24</v>
      </c>
      <c r="C33" t="s">
        <v>58</v>
      </c>
      <c r="D33" t="s">
        <v>148</v>
      </c>
      <c r="E33" t="s">
        <v>407</v>
      </c>
      <c r="F33" t="s">
        <v>948</v>
      </c>
      <c r="H33" t="s">
        <v>1669</v>
      </c>
      <c r="I33" t="s">
        <v>1670</v>
      </c>
      <c r="J33" t="s">
        <v>1674</v>
      </c>
      <c r="K33">
        <v>1</v>
      </c>
      <c r="L33">
        <v>1</v>
      </c>
      <c r="M33">
        <v>2</v>
      </c>
      <c r="N33">
        <v>9</v>
      </c>
      <c r="O33">
        <v>1</v>
      </c>
      <c r="P33">
        <v>10</v>
      </c>
      <c r="Q33">
        <f>N33-K33</f>
        <v>8</v>
      </c>
      <c r="R33">
        <f>O33-L33</f>
        <v>0</v>
      </c>
      <c r="S33">
        <f>P33-M33</f>
        <v>8</v>
      </c>
      <c r="T33">
        <v>31</v>
      </c>
      <c r="U33" s="14">
        <v>72349.650000000009</v>
      </c>
      <c r="V33" s="14">
        <v>520</v>
      </c>
      <c r="W33" s="16">
        <v>2.3384042551281438E-4</v>
      </c>
      <c r="X33" s="16">
        <v>9.417355461703962E-4</v>
      </c>
    </row>
    <row r="34" spans="1:24" x14ac:dyDescent="0.2">
      <c r="A34" t="s">
        <v>16</v>
      </c>
      <c r="B34" t="s">
        <v>22</v>
      </c>
      <c r="C34" t="s">
        <v>46</v>
      </c>
      <c r="D34" t="s">
        <v>169</v>
      </c>
      <c r="E34" t="s">
        <v>467</v>
      </c>
      <c r="F34" t="s">
        <v>467</v>
      </c>
      <c r="H34" t="s">
        <v>1670</v>
      </c>
      <c r="I34" t="s">
        <v>1670</v>
      </c>
      <c r="J34" t="s">
        <v>1674</v>
      </c>
      <c r="K34">
        <v>6</v>
      </c>
      <c r="L34">
        <v>0</v>
      </c>
      <c r="M34">
        <v>6</v>
      </c>
      <c r="N34">
        <v>0</v>
      </c>
      <c r="O34">
        <v>0</v>
      </c>
      <c r="P34">
        <v>0</v>
      </c>
      <c r="Q34">
        <f>N34-K34</f>
        <v>-6</v>
      </c>
      <c r="R34">
        <f>O34-L34</f>
        <v>0</v>
      </c>
      <c r="S34">
        <f>P34-M34</f>
        <v>-6</v>
      </c>
      <c r="T34">
        <v>27</v>
      </c>
      <c r="U34" s="14">
        <v>2130039.7699999996</v>
      </c>
      <c r="V34" s="14">
        <v>941</v>
      </c>
      <c r="W34" s="16">
        <v>6.8844756840705807E-3</v>
      </c>
      <c r="X34" s="16">
        <v>1.7041791325891208E-3</v>
      </c>
    </row>
    <row r="35" spans="1:24" x14ac:dyDescent="0.2">
      <c r="A35" t="s">
        <v>17</v>
      </c>
      <c r="B35" t="s">
        <v>24</v>
      </c>
      <c r="C35" t="s">
        <v>49</v>
      </c>
      <c r="D35" t="s">
        <v>152</v>
      </c>
      <c r="E35" t="s">
        <v>484</v>
      </c>
      <c r="F35" t="s">
        <v>1253</v>
      </c>
      <c r="H35" t="s">
        <v>1669</v>
      </c>
      <c r="I35" t="s">
        <v>1671</v>
      </c>
      <c r="J35" t="s">
        <v>1674</v>
      </c>
      <c r="K35">
        <v>0</v>
      </c>
      <c r="L35">
        <v>4</v>
      </c>
      <c r="M35">
        <v>4</v>
      </c>
      <c r="N35">
        <v>10</v>
      </c>
      <c r="O35">
        <v>2</v>
      </c>
      <c r="P35">
        <v>12</v>
      </c>
      <c r="Q35">
        <f>N35-K35</f>
        <v>10</v>
      </c>
      <c r="R35">
        <f>O35-L35</f>
        <v>-2</v>
      </c>
      <c r="S35">
        <f>P35-M35</f>
        <v>8</v>
      </c>
      <c r="T35">
        <v>13</v>
      </c>
      <c r="U35" s="14">
        <v>36255.96</v>
      </c>
      <c r="V35" s="14">
        <v>80</v>
      </c>
      <c r="W35" s="16">
        <v>1.1718244820500965E-4</v>
      </c>
      <c r="X35" s="16">
        <v>1.4488239171852249E-4</v>
      </c>
    </row>
    <row r="36" spans="1:24" x14ac:dyDescent="0.2">
      <c r="A36" t="s">
        <v>12</v>
      </c>
      <c r="B36" t="s">
        <v>18</v>
      </c>
      <c r="C36" t="s">
        <v>32</v>
      </c>
      <c r="D36" t="s">
        <v>83</v>
      </c>
      <c r="E36" t="s">
        <v>285</v>
      </c>
      <c r="F36" t="s">
        <v>737</v>
      </c>
      <c r="H36" t="s">
        <v>1669</v>
      </c>
      <c r="I36" t="s">
        <v>1671</v>
      </c>
      <c r="J36" t="s">
        <v>1674</v>
      </c>
      <c r="K36">
        <v>1</v>
      </c>
      <c r="L36">
        <v>1</v>
      </c>
      <c r="M36">
        <v>2</v>
      </c>
      <c r="N36">
        <v>4</v>
      </c>
      <c r="O36">
        <v>5</v>
      </c>
      <c r="P36">
        <v>9</v>
      </c>
      <c r="Q36">
        <f>N36-K36</f>
        <v>3</v>
      </c>
      <c r="R36">
        <f>O36-L36</f>
        <v>4</v>
      </c>
      <c r="S36">
        <f>P36-M36</f>
        <v>7</v>
      </c>
      <c r="T36">
        <v>124</v>
      </c>
      <c r="U36" s="14">
        <v>135513.31000000003</v>
      </c>
      <c r="V36" s="14">
        <v>476</v>
      </c>
      <c r="W36" s="16">
        <v>4.3799092425533402E-4</v>
      </c>
      <c r="X36" s="16">
        <v>8.6205023072520885E-4</v>
      </c>
    </row>
    <row r="37" spans="1:24" x14ac:dyDescent="0.2">
      <c r="A37" t="s">
        <v>12</v>
      </c>
      <c r="B37" s="35" t="s">
        <v>19</v>
      </c>
      <c r="C37" t="s">
        <v>27</v>
      </c>
      <c r="D37" t="s">
        <v>67</v>
      </c>
      <c r="E37" t="s">
        <v>252</v>
      </c>
      <c r="F37" t="s">
        <v>700</v>
      </c>
      <c r="H37" t="s">
        <v>1670</v>
      </c>
      <c r="I37" t="s">
        <v>1670</v>
      </c>
      <c r="J37" t="s">
        <v>1674</v>
      </c>
      <c r="K37">
        <v>18</v>
      </c>
      <c r="L37">
        <v>0</v>
      </c>
      <c r="M37">
        <v>18</v>
      </c>
      <c r="N37">
        <v>18</v>
      </c>
      <c r="O37">
        <v>0</v>
      </c>
      <c r="P37">
        <v>18</v>
      </c>
      <c r="Q37">
        <f>N37-K37</f>
        <v>0</v>
      </c>
      <c r="R37">
        <f>O37-L37</f>
        <v>0</v>
      </c>
      <c r="S37">
        <f>P37-M37</f>
        <v>0</v>
      </c>
      <c r="T37">
        <v>320</v>
      </c>
      <c r="U37" s="14">
        <v>2031081.7500000009</v>
      </c>
      <c r="V37" s="14">
        <v>6702</v>
      </c>
      <c r="W37" s="16">
        <v>6.5646346688796953E-3</v>
      </c>
      <c r="X37" s="16">
        <v>1.2137522366219221E-2</v>
      </c>
    </row>
    <row r="38" spans="1:24" x14ac:dyDescent="0.2">
      <c r="A38" t="s">
        <v>14</v>
      </c>
      <c r="B38" s="35" t="s">
        <v>19</v>
      </c>
      <c r="C38" t="s">
        <v>42</v>
      </c>
      <c r="D38" t="s">
        <v>110</v>
      </c>
      <c r="E38" t="s">
        <v>352</v>
      </c>
      <c r="F38" t="s">
        <v>352</v>
      </c>
      <c r="H38" t="s">
        <v>1670</v>
      </c>
      <c r="I38" t="s">
        <v>1670</v>
      </c>
      <c r="J38" t="s">
        <v>1674</v>
      </c>
      <c r="K38">
        <v>14</v>
      </c>
      <c r="L38">
        <v>0</v>
      </c>
      <c r="M38">
        <v>14</v>
      </c>
      <c r="N38">
        <v>14</v>
      </c>
      <c r="O38">
        <v>0</v>
      </c>
      <c r="P38">
        <v>14</v>
      </c>
      <c r="Q38">
        <f>N38-K38</f>
        <v>0</v>
      </c>
      <c r="R38">
        <f>O38-L38</f>
        <v>0</v>
      </c>
      <c r="S38">
        <f>P38-M38</f>
        <v>0</v>
      </c>
      <c r="T38">
        <v>89</v>
      </c>
      <c r="U38" s="14">
        <v>1839704.1400000004</v>
      </c>
      <c r="V38" s="14">
        <v>4245</v>
      </c>
      <c r="W38" s="16">
        <v>5.9460854187309304E-3</v>
      </c>
      <c r="X38" s="16">
        <v>7.6878219105640999E-3</v>
      </c>
    </row>
    <row r="39" spans="1:24" x14ac:dyDescent="0.2">
      <c r="A39" t="s">
        <v>16</v>
      </c>
      <c r="B39" t="s">
        <v>22</v>
      </c>
      <c r="C39" t="s">
        <v>59</v>
      </c>
      <c r="D39" t="s">
        <v>172</v>
      </c>
      <c r="E39" t="s">
        <v>473</v>
      </c>
      <c r="F39" t="s">
        <v>473</v>
      </c>
      <c r="H39" t="s">
        <v>1669</v>
      </c>
      <c r="I39" t="s">
        <v>1670</v>
      </c>
      <c r="J39" t="s">
        <v>1673</v>
      </c>
      <c r="K39">
        <v>4</v>
      </c>
      <c r="L39">
        <v>1</v>
      </c>
      <c r="M39">
        <v>5</v>
      </c>
      <c r="N39">
        <v>12</v>
      </c>
      <c r="O39">
        <v>0</v>
      </c>
      <c r="P39">
        <v>12</v>
      </c>
      <c r="Q39">
        <f>N39-K39</f>
        <v>8</v>
      </c>
      <c r="R39">
        <f>O39-L39</f>
        <v>-1</v>
      </c>
      <c r="S39">
        <f>P39-M39</f>
        <v>7</v>
      </c>
      <c r="T39">
        <v>27</v>
      </c>
      <c r="U39" s="14">
        <v>291673.67</v>
      </c>
      <c r="V39" s="14">
        <v>384</v>
      </c>
      <c r="W39" s="16">
        <v>9.4271492818118934E-4</v>
      </c>
      <c r="X39" s="16">
        <v>6.9543548024890791E-4</v>
      </c>
    </row>
    <row r="40" spans="1:24" x14ac:dyDescent="0.2">
      <c r="A40" t="s">
        <v>12</v>
      </c>
      <c r="B40" t="s">
        <v>18</v>
      </c>
      <c r="C40" t="s">
        <v>32</v>
      </c>
      <c r="D40" t="s">
        <v>83</v>
      </c>
      <c r="E40" t="s">
        <v>61</v>
      </c>
      <c r="F40" t="s">
        <v>274</v>
      </c>
      <c r="H40" t="s">
        <v>1669</v>
      </c>
      <c r="I40" t="s">
        <v>1671</v>
      </c>
      <c r="J40" t="s">
        <v>1674</v>
      </c>
      <c r="K40">
        <v>0</v>
      </c>
      <c r="L40">
        <v>1</v>
      </c>
      <c r="M40">
        <v>1</v>
      </c>
      <c r="N40">
        <v>3</v>
      </c>
      <c r="O40">
        <v>4</v>
      </c>
      <c r="P40">
        <v>7</v>
      </c>
      <c r="Q40">
        <f>N40-K40</f>
        <v>3</v>
      </c>
      <c r="R40">
        <f>O40-L40</f>
        <v>3</v>
      </c>
      <c r="S40">
        <f>P40-M40</f>
        <v>6</v>
      </c>
      <c r="T40">
        <v>32</v>
      </c>
      <c r="U40" s="14">
        <v>137478.88</v>
      </c>
      <c r="V40" s="14">
        <v>515</v>
      </c>
      <c r="W40" s="16">
        <v>4.4434381919228555E-4</v>
      </c>
      <c r="X40" s="16">
        <v>9.3268039668798852E-4</v>
      </c>
    </row>
    <row r="41" spans="1:24" x14ac:dyDescent="0.2">
      <c r="A41" t="s">
        <v>13</v>
      </c>
      <c r="B41" t="s">
        <v>22</v>
      </c>
      <c r="C41" t="s">
        <v>31</v>
      </c>
      <c r="D41" t="s">
        <v>94</v>
      </c>
      <c r="E41" t="s">
        <v>323</v>
      </c>
      <c r="F41" t="s">
        <v>834</v>
      </c>
      <c r="H41" t="s">
        <v>1669</v>
      </c>
      <c r="I41" t="s">
        <v>1670</v>
      </c>
      <c r="J41" t="s">
        <v>1674</v>
      </c>
      <c r="K41">
        <v>1</v>
      </c>
      <c r="L41">
        <v>1</v>
      </c>
      <c r="M41">
        <v>2</v>
      </c>
      <c r="N41">
        <v>5</v>
      </c>
      <c r="O41">
        <v>3</v>
      </c>
      <c r="P41">
        <v>8</v>
      </c>
      <c r="Q41">
        <f>N41-K41</f>
        <v>4</v>
      </c>
      <c r="R41">
        <f>O41-L41</f>
        <v>2</v>
      </c>
      <c r="S41">
        <f>P41-M41</f>
        <v>6</v>
      </c>
      <c r="T41">
        <v>76</v>
      </c>
      <c r="U41" s="14">
        <v>225227.81999999995</v>
      </c>
      <c r="V41" s="14">
        <v>809</v>
      </c>
      <c r="W41" s="16">
        <v>7.2795610298216433E-4</v>
      </c>
      <c r="X41" s="16">
        <v>1.4651231862535586E-3</v>
      </c>
    </row>
    <row r="42" spans="1:24" x14ac:dyDescent="0.2">
      <c r="A42" t="s">
        <v>17</v>
      </c>
      <c r="B42" t="s">
        <v>23</v>
      </c>
      <c r="C42" t="s">
        <v>60</v>
      </c>
      <c r="D42" t="s">
        <v>173</v>
      </c>
      <c r="E42" t="s">
        <v>476</v>
      </c>
      <c r="F42" t="s">
        <v>1564</v>
      </c>
      <c r="H42" t="s">
        <v>1669</v>
      </c>
      <c r="I42" t="s">
        <v>1671</v>
      </c>
      <c r="J42" t="s">
        <v>1674</v>
      </c>
      <c r="K42">
        <v>0</v>
      </c>
      <c r="L42">
        <v>0</v>
      </c>
      <c r="M42">
        <v>0</v>
      </c>
      <c r="N42">
        <v>4</v>
      </c>
      <c r="O42">
        <v>2</v>
      </c>
      <c r="P42">
        <v>6</v>
      </c>
      <c r="Q42">
        <f>N42-K42</f>
        <v>4</v>
      </c>
      <c r="R42">
        <f>O42-L42</f>
        <v>2</v>
      </c>
      <c r="S42">
        <f>P42-M42</f>
        <v>6</v>
      </c>
      <c r="T42">
        <v>6</v>
      </c>
      <c r="U42" s="14">
        <v>3545</v>
      </c>
      <c r="V42" s="14">
        <v>6</v>
      </c>
      <c r="W42" s="16">
        <v>1.1457751467255569E-5</v>
      </c>
      <c r="X42" s="16">
        <v>1.0866179378889186E-5</v>
      </c>
    </row>
    <row r="43" spans="1:24" x14ac:dyDescent="0.2">
      <c r="A43" t="s">
        <v>12</v>
      </c>
      <c r="B43" t="s">
        <v>18</v>
      </c>
      <c r="C43" t="s">
        <v>32</v>
      </c>
      <c r="D43" t="s">
        <v>83</v>
      </c>
      <c r="E43" t="s">
        <v>286</v>
      </c>
      <c r="F43" t="s">
        <v>1243</v>
      </c>
      <c r="H43" t="s">
        <v>1669</v>
      </c>
      <c r="I43" t="s">
        <v>1671</v>
      </c>
      <c r="J43" t="s">
        <v>1674</v>
      </c>
      <c r="K43">
        <v>0</v>
      </c>
      <c r="L43">
        <v>1</v>
      </c>
      <c r="M43">
        <v>1</v>
      </c>
      <c r="N43">
        <v>5</v>
      </c>
      <c r="O43">
        <v>2</v>
      </c>
      <c r="P43">
        <v>7</v>
      </c>
      <c r="Q43">
        <f>N43-K43</f>
        <v>5</v>
      </c>
      <c r="R43">
        <f>O43-L43</f>
        <v>1</v>
      </c>
      <c r="S43">
        <f>P43-M43</f>
        <v>6</v>
      </c>
      <c r="T43">
        <v>119</v>
      </c>
      <c r="U43" s="14">
        <v>368266.80999999982</v>
      </c>
      <c r="V43" s="14">
        <v>835</v>
      </c>
      <c r="W43" s="16">
        <v>1.1902706862112907E-3</v>
      </c>
      <c r="X43" s="16">
        <v>1.5122099635620785E-3</v>
      </c>
    </row>
    <row r="44" spans="1:24" x14ac:dyDescent="0.2">
      <c r="A44" t="s">
        <v>12</v>
      </c>
      <c r="B44" t="s">
        <v>18</v>
      </c>
      <c r="C44" t="s">
        <v>32</v>
      </c>
      <c r="D44" t="s">
        <v>83</v>
      </c>
      <c r="E44" t="s">
        <v>286</v>
      </c>
      <c r="F44" t="s">
        <v>1259</v>
      </c>
      <c r="H44" t="s">
        <v>1669</v>
      </c>
      <c r="I44" t="s">
        <v>1671</v>
      </c>
      <c r="J44" t="s">
        <v>1674</v>
      </c>
      <c r="K44">
        <v>0</v>
      </c>
      <c r="L44">
        <v>1</v>
      </c>
      <c r="M44">
        <v>1</v>
      </c>
      <c r="N44">
        <v>5</v>
      </c>
      <c r="O44">
        <v>2</v>
      </c>
      <c r="P44">
        <v>7</v>
      </c>
      <c r="Q44">
        <f>N44-K44</f>
        <v>5</v>
      </c>
      <c r="R44">
        <f>O44-L44</f>
        <v>1</v>
      </c>
      <c r="S44">
        <f>P44-M44</f>
        <v>6</v>
      </c>
      <c r="T44">
        <v>1</v>
      </c>
      <c r="U44" s="14">
        <v>0</v>
      </c>
      <c r="V44" s="14">
        <v>0</v>
      </c>
      <c r="W44" s="16">
        <v>0</v>
      </c>
      <c r="X44" s="16">
        <v>0</v>
      </c>
    </row>
    <row r="45" spans="1:24" x14ac:dyDescent="0.2">
      <c r="A45" t="s">
        <v>15</v>
      </c>
      <c r="B45" t="s">
        <v>24</v>
      </c>
      <c r="C45" t="s">
        <v>58</v>
      </c>
      <c r="D45" t="s">
        <v>150</v>
      </c>
      <c r="E45" t="s">
        <v>135</v>
      </c>
      <c r="F45" t="s">
        <v>1198</v>
      </c>
      <c r="H45" t="s">
        <v>1669</v>
      </c>
      <c r="I45" t="s">
        <v>1670</v>
      </c>
      <c r="J45" t="s">
        <v>1674</v>
      </c>
      <c r="K45">
        <v>0</v>
      </c>
      <c r="L45">
        <v>3</v>
      </c>
      <c r="M45">
        <v>3</v>
      </c>
      <c r="N45">
        <v>6</v>
      </c>
      <c r="O45">
        <v>3</v>
      </c>
      <c r="P45">
        <v>9</v>
      </c>
      <c r="Q45">
        <f>N45-K45</f>
        <v>6</v>
      </c>
      <c r="R45">
        <f>O45-L45</f>
        <v>0</v>
      </c>
      <c r="S45">
        <f>P45-M45</f>
        <v>6</v>
      </c>
      <c r="T45">
        <v>42</v>
      </c>
      <c r="U45" s="14">
        <v>77775.98000000001</v>
      </c>
      <c r="V45" s="14">
        <v>430</v>
      </c>
      <c r="W45" s="16">
        <v>2.5137880083561068E-4</v>
      </c>
      <c r="X45" s="16">
        <v>7.7874285548705838E-4</v>
      </c>
    </row>
    <row r="46" spans="1:24" x14ac:dyDescent="0.2">
      <c r="A46" t="s">
        <v>17</v>
      </c>
      <c r="B46" t="s">
        <v>24</v>
      </c>
      <c r="C46" t="s">
        <v>49</v>
      </c>
      <c r="D46" t="s">
        <v>180</v>
      </c>
      <c r="E46" t="s">
        <v>557</v>
      </c>
      <c r="F46" t="s">
        <v>557</v>
      </c>
      <c r="H46" t="s">
        <v>1669</v>
      </c>
      <c r="I46" t="s">
        <v>1670</v>
      </c>
      <c r="J46" t="s">
        <v>1674</v>
      </c>
      <c r="K46">
        <v>0</v>
      </c>
      <c r="L46">
        <v>2</v>
      </c>
      <c r="M46">
        <v>2</v>
      </c>
      <c r="N46">
        <v>6</v>
      </c>
      <c r="O46">
        <v>2</v>
      </c>
      <c r="P46">
        <v>8</v>
      </c>
      <c r="Q46">
        <f>N46-K46</f>
        <v>6</v>
      </c>
      <c r="R46">
        <f>O46-L46</f>
        <v>0</v>
      </c>
      <c r="S46">
        <f>P46-M46</f>
        <v>6</v>
      </c>
      <c r="T46">
        <v>46</v>
      </c>
      <c r="U46" s="14">
        <v>13299.15</v>
      </c>
      <c r="V46" s="14">
        <v>168</v>
      </c>
      <c r="W46" s="16">
        <v>4.2984021276657797E-5</v>
      </c>
      <c r="X46" s="16">
        <v>3.0425302260889722E-4</v>
      </c>
    </row>
    <row r="47" spans="1:24" x14ac:dyDescent="0.2">
      <c r="A47" t="s">
        <v>12</v>
      </c>
      <c r="B47" t="s">
        <v>18</v>
      </c>
      <c r="C47" t="s">
        <v>32</v>
      </c>
      <c r="D47" t="s">
        <v>83</v>
      </c>
      <c r="E47" t="s">
        <v>287</v>
      </c>
      <c r="F47" t="s">
        <v>1225</v>
      </c>
      <c r="H47" t="s">
        <v>1669</v>
      </c>
      <c r="I47" t="s">
        <v>1671</v>
      </c>
      <c r="J47" t="s">
        <v>1674</v>
      </c>
      <c r="K47">
        <v>0</v>
      </c>
      <c r="L47">
        <v>1</v>
      </c>
      <c r="M47">
        <v>1</v>
      </c>
      <c r="N47">
        <v>6</v>
      </c>
      <c r="O47">
        <v>1</v>
      </c>
      <c r="P47">
        <v>7</v>
      </c>
      <c r="Q47">
        <f>N47-K47</f>
        <v>6</v>
      </c>
      <c r="R47">
        <f>O47-L47</f>
        <v>0</v>
      </c>
      <c r="S47">
        <f>P47-M47</f>
        <v>6</v>
      </c>
      <c r="T47">
        <v>100</v>
      </c>
      <c r="U47" s="14">
        <v>713841.70999999973</v>
      </c>
      <c r="V47" s="14">
        <v>1232</v>
      </c>
      <c r="W47" s="16">
        <v>2.3071991255686096E-3</v>
      </c>
      <c r="X47" s="16">
        <v>2.2311888324652463E-3</v>
      </c>
    </row>
    <row r="48" spans="1:24" x14ac:dyDescent="0.2">
      <c r="A48" t="s">
        <v>15</v>
      </c>
      <c r="B48" t="s">
        <v>24</v>
      </c>
      <c r="C48" t="s">
        <v>58</v>
      </c>
      <c r="D48" t="s">
        <v>150</v>
      </c>
      <c r="E48" t="s">
        <v>425</v>
      </c>
      <c r="F48" t="s">
        <v>1299</v>
      </c>
      <c r="H48" t="s">
        <v>1669</v>
      </c>
      <c r="I48" t="s">
        <v>1670</v>
      </c>
      <c r="J48" t="s">
        <v>1674</v>
      </c>
      <c r="K48">
        <v>0</v>
      </c>
      <c r="L48">
        <v>0</v>
      </c>
      <c r="M48">
        <v>0</v>
      </c>
      <c r="N48">
        <v>6</v>
      </c>
      <c r="O48">
        <v>0</v>
      </c>
      <c r="P48">
        <v>6</v>
      </c>
      <c r="Q48">
        <f>N48-K48</f>
        <v>6</v>
      </c>
      <c r="R48">
        <f>O48-L48</f>
        <v>0</v>
      </c>
      <c r="S48">
        <f>P48-M48</f>
        <v>6</v>
      </c>
      <c r="T48">
        <v>22</v>
      </c>
      <c r="U48" s="14">
        <v>35548.86</v>
      </c>
      <c r="V48" s="14">
        <v>331</v>
      </c>
      <c r="W48" s="16">
        <v>1.1489703887849444E-4</v>
      </c>
      <c r="X48" s="16">
        <v>5.9945089573538676E-4</v>
      </c>
    </row>
    <row r="49" spans="1:24" x14ac:dyDescent="0.2">
      <c r="A49" t="s">
        <v>13</v>
      </c>
      <c r="B49" t="s">
        <v>20</v>
      </c>
      <c r="C49" t="s">
        <v>38</v>
      </c>
      <c r="D49" t="s">
        <v>101</v>
      </c>
      <c r="E49" t="s">
        <v>335</v>
      </c>
      <c r="F49" t="s">
        <v>1340</v>
      </c>
      <c r="H49" t="s">
        <v>1669</v>
      </c>
      <c r="I49" t="s">
        <v>1670</v>
      </c>
      <c r="J49" t="s">
        <v>1674</v>
      </c>
      <c r="K49">
        <v>0</v>
      </c>
      <c r="L49">
        <v>0</v>
      </c>
      <c r="M49">
        <v>0</v>
      </c>
      <c r="N49">
        <v>6</v>
      </c>
      <c r="O49">
        <v>0</v>
      </c>
      <c r="P49">
        <v>6</v>
      </c>
      <c r="Q49">
        <f>N49-K49</f>
        <v>6</v>
      </c>
      <c r="R49">
        <f>O49-L49</f>
        <v>0</v>
      </c>
      <c r="S49">
        <f>P49-M49</f>
        <v>6</v>
      </c>
      <c r="T49">
        <v>3</v>
      </c>
      <c r="U49" s="14">
        <v>256592</v>
      </c>
      <c r="V49" s="14">
        <v>5</v>
      </c>
      <c r="W49" s="16">
        <v>8.2932788843047701E-4</v>
      </c>
      <c r="X49" s="16">
        <v>9.0551494824076554E-6</v>
      </c>
    </row>
    <row r="50" spans="1:24" x14ac:dyDescent="0.2">
      <c r="A50" t="s">
        <v>14</v>
      </c>
      <c r="B50" s="35" t="s">
        <v>19</v>
      </c>
      <c r="C50" t="s">
        <v>52</v>
      </c>
      <c r="D50" t="s">
        <v>139</v>
      </c>
      <c r="E50" t="s">
        <v>391</v>
      </c>
      <c r="F50" t="s">
        <v>907</v>
      </c>
      <c r="H50" t="s">
        <v>1670</v>
      </c>
      <c r="I50" t="s">
        <v>1670</v>
      </c>
      <c r="J50" t="s">
        <v>1674</v>
      </c>
      <c r="K50">
        <v>36</v>
      </c>
      <c r="L50">
        <v>0</v>
      </c>
      <c r="M50">
        <v>36</v>
      </c>
      <c r="N50">
        <v>36</v>
      </c>
      <c r="O50">
        <v>0</v>
      </c>
      <c r="P50">
        <v>36</v>
      </c>
      <c r="Q50">
        <f>N50-K50</f>
        <v>0</v>
      </c>
      <c r="R50">
        <f>O50-L50</f>
        <v>0</v>
      </c>
      <c r="S50">
        <f>P50-M50</f>
        <v>0</v>
      </c>
      <c r="T50">
        <v>52</v>
      </c>
      <c r="U50" s="14">
        <v>1636440.98</v>
      </c>
      <c r="V50" s="14">
        <v>2840</v>
      </c>
      <c r="W50" s="16">
        <v>5.2891210267058224E-3</v>
      </c>
      <c r="X50" s="16">
        <v>5.143324906007548E-3</v>
      </c>
    </row>
    <row r="51" spans="1:24" x14ac:dyDescent="0.2">
      <c r="A51" t="s">
        <v>16</v>
      </c>
      <c r="B51" t="s">
        <v>22</v>
      </c>
      <c r="C51" t="s">
        <v>39</v>
      </c>
      <c r="D51" t="s">
        <v>163</v>
      </c>
      <c r="E51" t="s">
        <v>457</v>
      </c>
      <c r="F51" t="s">
        <v>1038</v>
      </c>
      <c r="H51" t="s">
        <v>1670</v>
      </c>
      <c r="I51" t="s">
        <v>1670</v>
      </c>
      <c r="J51" t="s">
        <v>1674</v>
      </c>
      <c r="K51">
        <v>2</v>
      </c>
      <c r="L51">
        <v>0</v>
      </c>
      <c r="M51">
        <v>2</v>
      </c>
      <c r="N51">
        <v>5</v>
      </c>
      <c r="O51">
        <v>0</v>
      </c>
      <c r="P51">
        <v>5</v>
      </c>
      <c r="Q51">
        <f>N51-K51</f>
        <v>3</v>
      </c>
      <c r="R51">
        <f>O51-L51</f>
        <v>0</v>
      </c>
      <c r="S51">
        <f>P51-M51</f>
        <v>3</v>
      </c>
      <c r="T51">
        <v>115</v>
      </c>
      <c r="U51" s="14">
        <v>1634193.5700000003</v>
      </c>
      <c r="V51" s="14">
        <v>2196</v>
      </c>
      <c r="W51" s="16">
        <v>5.2818572001261267E-3</v>
      </c>
      <c r="X51" s="16">
        <v>3.9770216526734421E-3</v>
      </c>
    </row>
    <row r="52" spans="1:24" x14ac:dyDescent="0.2">
      <c r="A52" t="s">
        <v>12</v>
      </c>
      <c r="B52" s="35" t="s">
        <v>19</v>
      </c>
      <c r="C52" t="s">
        <v>28</v>
      </c>
      <c r="D52" t="s">
        <v>72</v>
      </c>
      <c r="E52" t="s">
        <v>261</v>
      </c>
      <c r="F52" t="s">
        <v>261</v>
      </c>
      <c r="H52" t="s">
        <v>1670</v>
      </c>
      <c r="I52" t="s">
        <v>1670</v>
      </c>
      <c r="J52" t="s">
        <v>1674</v>
      </c>
      <c r="K52">
        <v>12</v>
      </c>
      <c r="L52">
        <v>0</v>
      </c>
      <c r="M52">
        <v>12</v>
      </c>
      <c r="N52">
        <v>12</v>
      </c>
      <c r="O52">
        <v>0</v>
      </c>
      <c r="P52">
        <v>12</v>
      </c>
      <c r="Q52">
        <f>N52-K52</f>
        <v>0</v>
      </c>
      <c r="R52">
        <f>O52-L52</f>
        <v>0</v>
      </c>
      <c r="S52">
        <f>P52-M52</f>
        <v>0</v>
      </c>
      <c r="T52">
        <v>398</v>
      </c>
      <c r="U52" s="14">
        <v>1632877.0600000008</v>
      </c>
      <c r="V52" s="14">
        <v>3067</v>
      </c>
      <c r="W52" s="16">
        <v>5.2776021241362396E-3</v>
      </c>
      <c r="X52" s="16">
        <v>5.554428692508856E-3</v>
      </c>
    </row>
    <row r="53" spans="1:24" x14ac:dyDescent="0.2">
      <c r="A53" t="s">
        <v>14</v>
      </c>
      <c r="B53" s="35" t="s">
        <v>19</v>
      </c>
      <c r="C53" t="s">
        <v>27</v>
      </c>
      <c r="D53" t="s">
        <v>105</v>
      </c>
      <c r="E53" t="s">
        <v>379</v>
      </c>
      <c r="F53" t="s">
        <v>379</v>
      </c>
      <c r="H53" t="s">
        <v>1670</v>
      </c>
      <c r="I53" t="s">
        <v>1670</v>
      </c>
      <c r="J53" t="s">
        <v>1674</v>
      </c>
      <c r="K53">
        <v>36</v>
      </c>
      <c r="L53">
        <v>0</v>
      </c>
      <c r="M53">
        <v>36</v>
      </c>
      <c r="N53">
        <v>36</v>
      </c>
      <c r="O53">
        <v>0</v>
      </c>
      <c r="P53">
        <v>36</v>
      </c>
      <c r="Q53">
        <f>N53-K53</f>
        <v>0</v>
      </c>
      <c r="R53">
        <f>O53-L53</f>
        <v>0</v>
      </c>
      <c r="S53">
        <f>P53-M53</f>
        <v>0</v>
      </c>
      <c r="T53">
        <v>184</v>
      </c>
      <c r="U53" s="14">
        <v>1626321.6499999994</v>
      </c>
      <c r="V53" s="14">
        <v>3400</v>
      </c>
      <c r="W53" s="16">
        <v>5.2564144630513378E-3</v>
      </c>
      <c r="X53" s="16">
        <v>6.1575016480372056E-3</v>
      </c>
    </row>
    <row r="54" spans="1:24" x14ac:dyDescent="0.2">
      <c r="A54" t="s">
        <v>15</v>
      </c>
      <c r="B54" t="s">
        <v>24</v>
      </c>
      <c r="C54" t="s">
        <v>58</v>
      </c>
      <c r="D54" t="s">
        <v>150</v>
      </c>
      <c r="E54" t="s">
        <v>425</v>
      </c>
      <c r="F54" t="s">
        <v>1169</v>
      </c>
      <c r="H54" t="s">
        <v>1669</v>
      </c>
      <c r="I54" t="s">
        <v>1670</v>
      </c>
      <c r="J54" t="s">
        <v>1674</v>
      </c>
      <c r="K54">
        <v>0</v>
      </c>
      <c r="L54">
        <v>1</v>
      </c>
      <c r="M54">
        <v>1</v>
      </c>
      <c r="N54">
        <v>7</v>
      </c>
      <c r="O54">
        <v>0</v>
      </c>
      <c r="P54">
        <v>7</v>
      </c>
      <c r="Q54">
        <f>N54-K54</f>
        <v>7</v>
      </c>
      <c r="R54">
        <f>O54-L54</f>
        <v>-1</v>
      </c>
      <c r="S54">
        <f>P54-M54</f>
        <v>6</v>
      </c>
      <c r="T54">
        <v>104</v>
      </c>
      <c r="U54" s="14">
        <v>112407.6</v>
      </c>
      <c r="V54" s="14">
        <v>707</v>
      </c>
      <c r="W54" s="16">
        <v>3.6331123944447874E-4</v>
      </c>
      <c r="X54" s="16">
        <v>1.2803981368124425E-3</v>
      </c>
    </row>
    <row r="55" spans="1:24" x14ac:dyDescent="0.2">
      <c r="A55" t="s">
        <v>15</v>
      </c>
      <c r="B55" t="s">
        <v>24</v>
      </c>
      <c r="C55" t="s">
        <v>58</v>
      </c>
      <c r="D55" t="s">
        <v>169</v>
      </c>
      <c r="E55" t="s">
        <v>546</v>
      </c>
      <c r="F55" t="s">
        <v>546</v>
      </c>
      <c r="H55" t="s">
        <v>1669</v>
      </c>
      <c r="I55" t="s">
        <v>1670</v>
      </c>
      <c r="J55" t="s">
        <v>1674</v>
      </c>
      <c r="K55">
        <v>0</v>
      </c>
      <c r="L55">
        <v>6</v>
      </c>
      <c r="M55">
        <v>6</v>
      </c>
      <c r="N55">
        <v>8</v>
      </c>
      <c r="O55">
        <v>4</v>
      </c>
      <c r="P55">
        <v>12</v>
      </c>
      <c r="Q55">
        <f>N55-K55</f>
        <v>8</v>
      </c>
      <c r="R55">
        <f>O55-L55</f>
        <v>-2</v>
      </c>
      <c r="S55">
        <f>P55-M55</f>
        <v>6</v>
      </c>
      <c r="T55">
        <v>119</v>
      </c>
      <c r="U55" s="14">
        <v>166901.40999999995</v>
      </c>
      <c r="V55" s="14">
        <v>892</v>
      </c>
      <c r="W55" s="16">
        <v>5.3944002124528144E-4</v>
      </c>
      <c r="X55" s="16">
        <v>1.6154386676615257E-3</v>
      </c>
    </row>
    <row r="56" spans="1:24" x14ac:dyDescent="0.2">
      <c r="A56" t="s">
        <v>12</v>
      </c>
      <c r="B56" t="s">
        <v>18</v>
      </c>
      <c r="C56" t="s">
        <v>30</v>
      </c>
      <c r="D56" t="s">
        <v>81</v>
      </c>
      <c r="E56" t="s">
        <v>81</v>
      </c>
      <c r="F56" t="s">
        <v>732</v>
      </c>
      <c r="H56" t="s">
        <v>1669</v>
      </c>
      <c r="I56" t="s">
        <v>1670</v>
      </c>
      <c r="J56" t="s">
        <v>1673</v>
      </c>
      <c r="K56">
        <v>1</v>
      </c>
      <c r="L56">
        <v>0</v>
      </c>
      <c r="M56">
        <v>1</v>
      </c>
      <c r="N56">
        <v>4</v>
      </c>
      <c r="O56">
        <v>2</v>
      </c>
      <c r="P56">
        <v>6</v>
      </c>
      <c r="Q56">
        <f>N56-K56</f>
        <v>3</v>
      </c>
      <c r="R56">
        <f>O56-L56</f>
        <v>2</v>
      </c>
      <c r="S56">
        <f>P56-M56</f>
        <v>5</v>
      </c>
      <c r="T56">
        <v>22</v>
      </c>
      <c r="U56" s="14">
        <v>318732.46999999997</v>
      </c>
      <c r="V56" s="14">
        <v>937</v>
      </c>
      <c r="W56" s="16">
        <v>1.0301713471944968E-3</v>
      </c>
      <c r="X56" s="16">
        <v>1.6969350130031946E-3</v>
      </c>
    </row>
    <row r="57" spans="1:24" x14ac:dyDescent="0.2">
      <c r="A57" t="s">
        <v>16</v>
      </c>
      <c r="B57" t="s">
        <v>22</v>
      </c>
      <c r="C57" t="s">
        <v>39</v>
      </c>
      <c r="D57" t="s">
        <v>155</v>
      </c>
      <c r="E57" t="s">
        <v>445</v>
      </c>
      <c r="F57" t="s">
        <v>1172</v>
      </c>
      <c r="H57" t="s">
        <v>1669</v>
      </c>
      <c r="I57" t="s">
        <v>1670</v>
      </c>
      <c r="J57" t="s">
        <v>1674</v>
      </c>
      <c r="K57">
        <v>0</v>
      </c>
      <c r="L57">
        <v>0</v>
      </c>
      <c r="M57">
        <v>0</v>
      </c>
      <c r="N57">
        <v>3</v>
      </c>
      <c r="O57">
        <v>2</v>
      </c>
      <c r="P57">
        <v>5</v>
      </c>
      <c r="Q57">
        <f>N57-K57</f>
        <v>3</v>
      </c>
      <c r="R57">
        <f>O57-L57</f>
        <v>2</v>
      </c>
      <c r="S57">
        <f>P57-M57</f>
        <v>5</v>
      </c>
      <c r="T57">
        <v>21</v>
      </c>
      <c r="U57" s="14">
        <v>35789.600000000006</v>
      </c>
      <c r="V57" s="14">
        <v>122</v>
      </c>
      <c r="W57" s="16">
        <v>1.1567513171015231E-4</v>
      </c>
      <c r="X57" s="16">
        <v>2.2094564737074681E-4</v>
      </c>
    </row>
    <row r="58" spans="1:24" x14ac:dyDescent="0.2">
      <c r="A58" t="s">
        <v>15</v>
      </c>
      <c r="B58" t="s">
        <v>24</v>
      </c>
      <c r="C58" t="s">
        <v>58</v>
      </c>
      <c r="D58" t="s">
        <v>169</v>
      </c>
      <c r="E58" t="s">
        <v>515</v>
      </c>
      <c r="F58" t="s">
        <v>515</v>
      </c>
      <c r="H58" t="s">
        <v>1669</v>
      </c>
      <c r="I58" t="s">
        <v>1670</v>
      </c>
      <c r="J58" t="s">
        <v>1674</v>
      </c>
      <c r="K58">
        <v>0</v>
      </c>
      <c r="L58">
        <v>1</v>
      </c>
      <c r="M58">
        <v>1</v>
      </c>
      <c r="N58">
        <v>4</v>
      </c>
      <c r="O58">
        <v>2</v>
      </c>
      <c r="P58">
        <v>6</v>
      </c>
      <c r="Q58">
        <f>N58-K58</f>
        <v>4</v>
      </c>
      <c r="R58">
        <f>O58-L58</f>
        <v>1</v>
      </c>
      <c r="S58">
        <f>P58-M58</f>
        <v>5</v>
      </c>
      <c r="T58">
        <v>24</v>
      </c>
      <c r="U58" s="14">
        <v>41758.049999999996</v>
      </c>
      <c r="V58" s="14">
        <v>288</v>
      </c>
      <c r="W58" s="16">
        <v>1.3496568650415552E-4</v>
      </c>
      <c r="X58" s="16">
        <v>5.2157661018668096E-4</v>
      </c>
    </row>
    <row r="59" spans="1:24" x14ac:dyDescent="0.2">
      <c r="A59" t="s">
        <v>12</v>
      </c>
      <c r="B59" t="s">
        <v>19</v>
      </c>
      <c r="C59" t="s">
        <v>28</v>
      </c>
      <c r="D59" t="s">
        <v>72</v>
      </c>
      <c r="E59" t="s">
        <v>187</v>
      </c>
      <c r="F59" t="s">
        <v>1179</v>
      </c>
      <c r="H59" t="s">
        <v>1669</v>
      </c>
      <c r="I59" t="s">
        <v>1671</v>
      </c>
      <c r="J59" t="s">
        <v>1674</v>
      </c>
      <c r="K59">
        <v>0</v>
      </c>
      <c r="L59">
        <v>1</v>
      </c>
      <c r="M59">
        <v>1</v>
      </c>
      <c r="N59">
        <v>4</v>
      </c>
      <c r="O59">
        <v>2</v>
      </c>
      <c r="P59">
        <v>6</v>
      </c>
      <c r="Q59">
        <f>N59-K59</f>
        <v>4</v>
      </c>
      <c r="R59">
        <f>O59-L59</f>
        <v>1</v>
      </c>
      <c r="S59">
        <f>P59-M59</f>
        <v>5</v>
      </c>
      <c r="T59">
        <v>201</v>
      </c>
      <c r="U59" s="14">
        <v>903854.89999999991</v>
      </c>
      <c r="V59" s="14">
        <v>3245</v>
      </c>
      <c r="W59" s="16">
        <v>2.9213384503980633E-3</v>
      </c>
      <c r="X59" s="16">
        <v>5.8767920140825681E-3</v>
      </c>
    </row>
    <row r="60" spans="1:24" x14ac:dyDescent="0.2">
      <c r="A60" t="s">
        <v>12</v>
      </c>
      <c r="B60" t="s">
        <v>18</v>
      </c>
      <c r="C60" t="s">
        <v>32</v>
      </c>
      <c r="D60" t="s">
        <v>83</v>
      </c>
      <c r="E60" t="s">
        <v>287</v>
      </c>
      <c r="F60" t="s">
        <v>1236</v>
      </c>
      <c r="H60" t="s">
        <v>1669</v>
      </c>
      <c r="I60" t="s">
        <v>1670</v>
      </c>
      <c r="J60" t="s">
        <v>1674</v>
      </c>
      <c r="K60">
        <v>0</v>
      </c>
      <c r="L60">
        <v>1</v>
      </c>
      <c r="M60">
        <v>1</v>
      </c>
      <c r="N60">
        <v>4</v>
      </c>
      <c r="O60">
        <v>2</v>
      </c>
      <c r="P60">
        <v>6</v>
      </c>
      <c r="Q60">
        <f>N60-K60</f>
        <v>4</v>
      </c>
      <c r="R60">
        <f>O60-L60</f>
        <v>1</v>
      </c>
      <c r="S60">
        <f>P60-M60</f>
        <v>5</v>
      </c>
      <c r="T60">
        <v>38</v>
      </c>
      <c r="U60" s="14">
        <v>340629.27</v>
      </c>
      <c r="V60" s="14">
        <v>562</v>
      </c>
      <c r="W60" s="16">
        <v>1.100943728669307E-3</v>
      </c>
      <c r="X60" s="16">
        <v>1.0177988018226205E-3</v>
      </c>
    </row>
    <row r="61" spans="1:24" x14ac:dyDescent="0.2">
      <c r="A61" t="s">
        <v>12</v>
      </c>
      <c r="B61" t="s">
        <v>18</v>
      </c>
      <c r="C61" t="s">
        <v>32</v>
      </c>
      <c r="D61" t="s">
        <v>83</v>
      </c>
      <c r="E61" t="s">
        <v>286</v>
      </c>
      <c r="F61" t="s">
        <v>1252</v>
      </c>
      <c r="H61" t="s">
        <v>1669</v>
      </c>
      <c r="I61" t="s">
        <v>1671</v>
      </c>
      <c r="J61" t="s">
        <v>1674</v>
      </c>
      <c r="K61">
        <v>0</v>
      </c>
      <c r="L61">
        <v>2</v>
      </c>
      <c r="M61">
        <v>2</v>
      </c>
      <c r="N61">
        <v>4</v>
      </c>
      <c r="O61">
        <v>3</v>
      </c>
      <c r="P61">
        <v>7</v>
      </c>
      <c r="Q61">
        <f>N61-K61</f>
        <v>4</v>
      </c>
      <c r="R61">
        <f>O61-L61</f>
        <v>1</v>
      </c>
      <c r="S61">
        <f>P61-M61</f>
        <v>5</v>
      </c>
      <c r="T61">
        <v>499</v>
      </c>
      <c r="U61" s="14">
        <v>2332526.6899999972</v>
      </c>
      <c r="V61" s="14">
        <v>3471</v>
      </c>
      <c r="W61" s="16">
        <v>7.5389312002144548E-3</v>
      </c>
      <c r="X61" s="16">
        <v>6.2860847706873949E-3</v>
      </c>
    </row>
    <row r="62" spans="1:24" x14ac:dyDescent="0.2">
      <c r="A62" t="s">
        <v>12</v>
      </c>
      <c r="B62" t="s">
        <v>19</v>
      </c>
      <c r="C62" t="s">
        <v>28</v>
      </c>
      <c r="D62" t="s">
        <v>73</v>
      </c>
      <c r="E62" t="s">
        <v>268</v>
      </c>
      <c r="F62" t="s">
        <v>1318</v>
      </c>
      <c r="H62" t="s">
        <v>1669</v>
      </c>
      <c r="I62" t="s">
        <v>1671</v>
      </c>
      <c r="J62" t="s">
        <v>1674</v>
      </c>
      <c r="K62">
        <v>0</v>
      </c>
      <c r="L62">
        <v>0</v>
      </c>
      <c r="M62">
        <v>0</v>
      </c>
      <c r="N62">
        <v>4</v>
      </c>
      <c r="O62">
        <v>1</v>
      </c>
      <c r="P62">
        <v>5</v>
      </c>
      <c r="Q62">
        <f>N62-K62</f>
        <v>4</v>
      </c>
      <c r="R62">
        <f>O62-L62</f>
        <v>1</v>
      </c>
      <c r="S62">
        <f>P62-M62</f>
        <v>5</v>
      </c>
      <c r="T62">
        <v>13</v>
      </c>
      <c r="U62" s="14">
        <v>33370.14</v>
      </c>
      <c r="V62" s="14">
        <v>142</v>
      </c>
      <c r="W62" s="16">
        <v>1.0785522441397002E-4</v>
      </c>
      <c r="X62" s="16">
        <v>2.5716624530037742E-4</v>
      </c>
    </row>
    <row r="63" spans="1:24" x14ac:dyDescent="0.2">
      <c r="A63" t="s">
        <v>13</v>
      </c>
      <c r="B63" t="s">
        <v>20</v>
      </c>
      <c r="C63" t="s">
        <v>33</v>
      </c>
      <c r="D63" t="s">
        <v>87</v>
      </c>
      <c r="E63" t="s">
        <v>297</v>
      </c>
      <c r="F63" t="s">
        <v>1330</v>
      </c>
      <c r="H63" t="s">
        <v>1669</v>
      </c>
      <c r="I63" t="s">
        <v>1671</v>
      </c>
      <c r="J63" t="s">
        <v>1674</v>
      </c>
      <c r="K63">
        <v>0</v>
      </c>
      <c r="L63">
        <v>0</v>
      </c>
      <c r="M63">
        <v>0</v>
      </c>
      <c r="N63">
        <v>4</v>
      </c>
      <c r="O63">
        <v>1</v>
      </c>
      <c r="P63">
        <v>5</v>
      </c>
      <c r="Q63">
        <f>N63-K63</f>
        <v>4</v>
      </c>
      <c r="R63">
        <f>O63-L63</f>
        <v>1</v>
      </c>
      <c r="S63">
        <f>P63-M63</f>
        <v>5</v>
      </c>
      <c r="T63">
        <v>27</v>
      </c>
      <c r="U63" s="14">
        <v>397763.54000000004</v>
      </c>
      <c r="V63" s="14">
        <v>175</v>
      </c>
      <c r="W63" s="16">
        <v>1.285606709183574E-3</v>
      </c>
      <c r="X63" s="16">
        <v>3.1693023188426796E-4</v>
      </c>
    </row>
    <row r="64" spans="1:24" x14ac:dyDescent="0.2">
      <c r="A64" t="s">
        <v>15</v>
      </c>
      <c r="B64" t="s">
        <v>24</v>
      </c>
      <c r="C64" t="s">
        <v>58</v>
      </c>
      <c r="D64" t="s">
        <v>169</v>
      </c>
      <c r="E64" t="s">
        <v>667</v>
      </c>
      <c r="F64" t="s">
        <v>667</v>
      </c>
      <c r="H64" t="s">
        <v>1669</v>
      </c>
      <c r="I64" t="s">
        <v>1671</v>
      </c>
      <c r="J64" t="s">
        <v>1674</v>
      </c>
      <c r="K64">
        <v>0</v>
      </c>
      <c r="L64">
        <v>0</v>
      </c>
      <c r="M64">
        <v>0</v>
      </c>
      <c r="N64">
        <v>4</v>
      </c>
      <c r="O64">
        <v>1</v>
      </c>
      <c r="P64">
        <v>5</v>
      </c>
      <c r="Q64">
        <f>N64-K64</f>
        <v>4</v>
      </c>
      <c r="R64">
        <f>O64-L64</f>
        <v>1</v>
      </c>
      <c r="S64">
        <f>P64-M64</f>
        <v>5</v>
      </c>
      <c r="T64">
        <v>8</v>
      </c>
      <c r="U64" s="14">
        <v>36268.92</v>
      </c>
      <c r="V64" s="14">
        <v>142</v>
      </c>
      <c r="W64" s="16">
        <v>1.1722433606368824E-4</v>
      </c>
      <c r="X64" s="16">
        <v>2.5716624530037742E-4</v>
      </c>
    </row>
    <row r="65" spans="1:24" x14ac:dyDescent="0.2">
      <c r="A65" t="s">
        <v>12</v>
      </c>
      <c r="B65" t="s">
        <v>19</v>
      </c>
      <c r="C65" t="s">
        <v>28</v>
      </c>
      <c r="D65" t="s">
        <v>73</v>
      </c>
      <c r="E65" t="s">
        <v>268</v>
      </c>
      <c r="F65" t="s">
        <v>721</v>
      </c>
      <c r="H65" t="s">
        <v>1669</v>
      </c>
      <c r="I65" t="s">
        <v>1671</v>
      </c>
      <c r="J65" t="s">
        <v>1674</v>
      </c>
      <c r="K65">
        <v>1</v>
      </c>
      <c r="L65">
        <v>4</v>
      </c>
      <c r="M65">
        <v>5</v>
      </c>
      <c r="N65">
        <v>6</v>
      </c>
      <c r="O65">
        <v>4</v>
      </c>
      <c r="P65">
        <v>10</v>
      </c>
      <c r="Q65">
        <f>N65-K65</f>
        <v>5</v>
      </c>
      <c r="R65">
        <f>O65-L65</f>
        <v>0</v>
      </c>
      <c r="S65">
        <f>P65-M65</f>
        <v>5</v>
      </c>
      <c r="T65">
        <v>48</v>
      </c>
      <c r="U65" s="14">
        <v>144417.18000000002</v>
      </c>
      <c r="V65" s="14">
        <v>565</v>
      </c>
      <c r="W65" s="16">
        <v>4.667690143982826E-4</v>
      </c>
      <c r="X65" s="16">
        <v>1.023231891512065E-3</v>
      </c>
    </row>
    <row r="66" spans="1:24" x14ac:dyDescent="0.2">
      <c r="A66" t="s">
        <v>12</v>
      </c>
      <c r="B66" s="35" t="s">
        <v>19</v>
      </c>
      <c r="C66" t="s">
        <v>28</v>
      </c>
      <c r="D66" t="s">
        <v>71</v>
      </c>
      <c r="E66" t="s">
        <v>258</v>
      </c>
      <c r="F66" t="s">
        <v>707</v>
      </c>
      <c r="H66" t="s">
        <v>1670</v>
      </c>
      <c r="I66" t="s">
        <v>1671</v>
      </c>
      <c r="J66" t="s">
        <v>1674</v>
      </c>
      <c r="K66">
        <v>2</v>
      </c>
      <c r="L66">
        <v>0</v>
      </c>
      <c r="M66">
        <v>2</v>
      </c>
      <c r="N66">
        <v>2</v>
      </c>
      <c r="O66">
        <v>0</v>
      </c>
      <c r="P66">
        <v>2</v>
      </c>
      <c r="Q66">
        <f>N66-K66</f>
        <v>0</v>
      </c>
      <c r="R66">
        <f>O66-L66</f>
        <v>0</v>
      </c>
      <c r="S66">
        <f>P66-M66</f>
        <v>0</v>
      </c>
      <c r="T66">
        <v>352</v>
      </c>
      <c r="U66" s="14">
        <v>1487150.7100000007</v>
      </c>
      <c r="V66" s="14">
        <v>3781</v>
      </c>
      <c r="W66" s="16">
        <v>4.8066017572729672E-3</v>
      </c>
      <c r="X66" s="16">
        <v>6.8475040385966692E-3</v>
      </c>
    </row>
    <row r="67" spans="1:24" x14ac:dyDescent="0.2">
      <c r="A67" t="s">
        <v>13</v>
      </c>
      <c r="B67" t="s">
        <v>22</v>
      </c>
      <c r="C67" t="s">
        <v>41</v>
      </c>
      <c r="D67" t="s">
        <v>37</v>
      </c>
      <c r="E67" t="s">
        <v>512</v>
      </c>
      <c r="F67" t="s">
        <v>581</v>
      </c>
      <c r="H67" t="s">
        <v>1669</v>
      </c>
      <c r="I67" t="s">
        <v>1670</v>
      </c>
      <c r="J67" t="s">
        <v>1674</v>
      </c>
      <c r="K67">
        <v>0</v>
      </c>
      <c r="L67">
        <v>2</v>
      </c>
      <c r="M67">
        <v>2</v>
      </c>
      <c r="N67">
        <v>5</v>
      </c>
      <c r="O67">
        <v>2</v>
      </c>
      <c r="P67">
        <v>7</v>
      </c>
      <c r="Q67">
        <f>N67-K67</f>
        <v>5</v>
      </c>
      <c r="R67">
        <f>O67-L67</f>
        <v>0</v>
      </c>
      <c r="S67">
        <f>P67-M67</f>
        <v>5</v>
      </c>
      <c r="T67">
        <v>729</v>
      </c>
      <c r="U67" s="14">
        <v>259310.43999999986</v>
      </c>
      <c r="V67" s="14">
        <v>8208</v>
      </c>
      <c r="W67" s="16">
        <v>8.381141253553415E-4</v>
      </c>
      <c r="X67" s="16">
        <v>1.4864933390320408E-2</v>
      </c>
    </row>
    <row r="68" spans="1:24" x14ac:dyDescent="0.2">
      <c r="A68" t="s">
        <v>13</v>
      </c>
      <c r="B68" t="s">
        <v>20</v>
      </c>
      <c r="C68" t="s">
        <v>33</v>
      </c>
      <c r="D68" t="s">
        <v>87</v>
      </c>
      <c r="E68" t="s">
        <v>299</v>
      </c>
      <c r="F68" t="s">
        <v>1132</v>
      </c>
      <c r="H68" t="s">
        <v>1669</v>
      </c>
      <c r="I68" t="s">
        <v>1670</v>
      </c>
      <c r="J68" t="s">
        <v>1674</v>
      </c>
      <c r="K68">
        <v>0</v>
      </c>
      <c r="L68">
        <v>1</v>
      </c>
      <c r="M68">
        <v>1</v>
      </c>
      <c r="N68">
        <v>5</v>
      </c>
      <c r="O68">
        <v>1</v>
      </c>
      <c r="P68">
        <v>6</v>
      </c>
      <c r="Q68">
        <f>N68-K68</f>
        <v>5</v>
      </c>
      <c r="R68">
        <f>O68-L68</f>
        <v>0</v>
      </c>
      <c r="S68">
        <f>P68-M68</f>
        <v>5</v>
      </c>
      <c r="T68">
        <v>5</v>
      </c>
      <c r="U68" s="14">
        <v>9247</v>
      </c>
      <c r="V68" s="14">
        <v>14</v>
      </c>
      <c r="W68" s="16">
        <v>2.9887116450694567E-5</v>
      </c>
      <c r="X68" s="16">
        <v>2.5354418550741437E-5</v>
      </c>
    </row>
    <row r="69" spans="1:24" x14ac:dyDescent="0.2">
      <c r="A69" t="s">
        <v>12</v>
      </c>
      <c r="B69" t="s">
        <v>19</v>
      </c>
      <c r="C69" t="s">
        <v>28</v>
      </c>
      <c r="D69" t="s">
        <v>191</v>
      </c>
      <c r="E69" t="s">
        <v>523</v>
      </c>
      <c r="F69" t="s">
        <v>1150</v>
      </c>
      <c r="H69" t="s">
        <v>1669</v>
      </c>
      <c r="I69" t="s">
        <v>1671</v>
      </c>
      <c r="J69" t="s">
        <v>1674</v>
      </c>
      <c r="K69">
        <v>0</v>
      </c>
      <c r="L69">
        <v>2</v>
      </c>
      <c r="M69">
        <v>2</v>
      </c>
      <c r="N69">
        <v>5</v>
      </c>
      <c r="O69">
        <v>2</v>
      </c>
      <c r="P69">
        <v>7</v>
      </c>
      <c r="Q69">
        <f>N69-K69</f>
        <v>5</v>
      </c>
      <c r="R69">
        <f>O69-L69</f>
        <v>0</v>
      </c>
      <c r="S69">
        <f>P69-M69</f>
        <v>5</v>
      </c>
      <c r="T69">
        <v>112</v>
      </c>
      <c r="U69" s="14">
        <v>2949755.8599999985</v>
      </c>
      <c r="V69" s="14">
        <v>23062</v>
      </c>
      <c r="W69" s="16">
        <v>9.5338701080284055E-3</v>
      </c>
      <c r="X69" s="16">
        <v>4.1765971472657072E-2</v>
      </c>
    </row>
    <row r="70" spans="1:24" x14ac:dyDescent="0.2">
      <c r="A70" t="s">
        <v>12</v>
      </c>
      <c r="B70" t="s">
        <v>19</v>
      </c>
      <c r="C70" t="s">
        <v>28</v>
      </c>
      <c r="D70" t="s">
        <v>71</v>
      </c>
      <c r="E70" t="s">
        <v>259</v>
      </c>
      <c r="F70" t="s">
        <v>1196</v>
      </c>
      <c r="H70" t="s">
        <v>1669</v>
      </c>
      <c r="I70" t="s">
        <v>1671</v>
      </c>
      <c r="J70" t="s">
        <v>1673</v>
      </c>
      <c r="K70">
        <v>0</v>
      </c>
      <c r="L70">
        <v>2</v>
      </c>
      <c r="M70">
        <v>2</v>
      </c>
      <c r="N70">
        <v>5</v>
      </c>
      <c r="O70">
        <v>2</v>
      </c>
      <c r="P70">
        <v>7</v>
      </c>
      <c r="Q70">
        <f>N70-K70</f>
        <v>5</v>
      </c>
      <c r="R70">
        <f>O70-L70</f>
        <v>0</v>
      </c>
      <c r="S70">
        <f>P70-M70</f>
        <v>5</v>
      </c>
      <c r="T70">
        <v>40</v>
      </c>
      <c r="U70" s="14">
        <v>224932.90999999997</v>
      </c>
      <c r="V70" s="14">
        <v>219</v>
      </c>
      <c r="W70" s="16">
        <v>7.2700292795107604E-4</v>
      </c>
      <c r="X70" s="16">
        <v>3.9661554732945531E-4</v>
      </c>
    </row>
    <row r="71" spans="1:24" x14ac:dyDescent="0.2">
      <c r="A71" t="s">
        <v>13</v>
      </c>
      <c r="B71" t="s">
        <v>20</v>
      </c>
      <c r="C71" t="s">
        <v>33</v>
      </c>
      <c r="D71" t="s">
        <v>87</v>
      </c>
      <c r="E71" t="s">
        <v>296</v>
      </c>
      <c r="F71" t="s">
        <v>1234</v>
      </c>
      <c r="H71" t="s">
        <v>1669</v>
      </c>
      <c r="I71" t="s">
        <v>1670</v>
      </c>
      <c r="J71" t="s">
        <v>1674</v>
      </c>
      <c r="K71">
        <v>0</v>
      </c>
      <c r="L71">
        <v>1</v>
      </c>
      <c r="M71">
        <v>1</v>
      </c>
      <c r="N71">
        <v>5</v>
      </c>
      <c r="O71">
        <v>1</v>
      </c>
      <c r="P71">
        <v>6</v>
      </c>
      <c r="Q71">
        <f>N71-K71</f>
        <v>5</v>
      </c>
      <c r="R71">
        <f>O71-L71</f>
        <v>0</v>
      </c>
      <c r="S71">
        <f>P71-M71</f>
        <v>5</v>
      </c>
      <c r="T71">
        <v>40</v>
      </c>
      <c r="U71" s="14">
        <v>343559.13999999996</v>
      </c>
      <c r="V71" s="14">
        <v>227</v>
      </c>
      <c r="W71" s="16">
        <v>1.1104133259306236E-3</v>
      </c>
      <c r="X71" s="16">
        <v>4.1110378650130756E-4</v>
      </c>
    </row>
    <row r="72" spans="1:24" x14ac:dyDescent="0.2">
      <c r="A72" t="s">
        <v>17</v>
      </c>
      <c r="B72" t="s">
        <v>23</v>
      </c>
      <c r="C72" t="s">
        <v>61</v>
      </c>
      <c r="D72" t="s">
        <v>187</v>
      </c>
      <c r="E72" t="s">
        <v>572</v>
      </c>
      <c r="F72" t="s">
        <v>1255</v>
      </c>
      <c r="H72" t="s">
        <v>1669</v>
      </c>
      <c r="I72" t="s">
        <v>1671</v>
      </c>
      <c r="J72" t="s">
        <v>1674</v>
      </c>
      <c r="K72">
        <v>0</v>
      </c>
      <c r="L72">
        <v>0</v>
      </c>
      <c r="M72">
        <v>0</v>
      </c>
      <c r="N72">
        <v>5</v>
      </c>
      <c r="O72">
        <v>0</v>
      </c>
      <c r="P72">
        <v>5</v>
      </c>
      <c r="Q72">
        <f>N72-K72</f>
        <v>5</v>
      </c>
      <c r="R72">
        <f>O72-L72</f>
        <v>0</v>
      </c>
      <c r="S72">
        <f>P72-M72</f>
        <v>5</v>
      </c>
      <c r="T72">
        <v>2</v>
      </c>
      <c r="U72" s="14">
        <v>649</v>
      </c>
      <c r="V72" s="14">
        <v>4</v>
      </c>
      <c r="W72" s="16">
        <v>2.0976250217909349E-6</v>
      </c>
      <c r="X72" s="16">
        <v>7.2441195859261247E-6</v>
      </c>
    </row>
    <row r="73" spans="1:24" x14ac:dyDescent="0.2">
      <c r="A73" t="s">
        <v>13</v>
      </c>
      <c r="B73" t="s">
        <v>22</v>
      </c>
      <c r="C73" t="s">
        <v>36</v>
      </c>
      <c r="D73" t="s">
        <v>92</v>
      </c>
      <c r="E73" t="s">
        <v>573</v>
      </c>
      <c r="F73" t="s">
        <v>1256</v>
      </c>
      <c r="H73" t="s">
        <v>1669</v>
      </c>
      <c r="I73" t="s">
        <v>1671</v>
      </c>
      <c r="J73" t="s">
        <v>1674</v>
      </c>
      <c r="K73">
        <v>0</v>
      </c>
      <c r="L73">
        <v>1</v>
      </c>
      <c r="M73">
        <v>1</v>
      </c>
      <c r="N73">
        <v>5</v>
      </c>
      <c r="O73">
        <v>1</v>
      </c>
      <c r="P73">
        <v>6</v>
      </c>
      <c r="Q73">
        <f>N73-K73</f>
        <v>5</v>
      </c>
      <c r="R73">
        <f>O73-L73</f>
        <v>0</v>
      </c>
      <c r="S73">
        <f>P73-M73</f>
        <v>5</v>
      </c>
      <c r="T73">
        <v>33</v>
      </c>
      <c r="U73" s="14">
        <v>26152.010000000002</v>
      </c>
      <c r="V73" s="14">
        <v>120</v>
      </c>
      <c r="W73" s="16">
        <v>8.4525594061828587E-5</v>
      </c>
      <c r="X73" s="16">
        <v>2.1732358757778374E-4</v>
      </c>
    </row>
    <row r="74" spans="1:24" x14ac:dyDescent="0.2">
      <c r="A74" t="s">
        <v>12</v>
      </c>
      <c r="B74" t="s">
        <v>19</v>
      </c>
      <c r="C74" t="s">
        <v>28</v>
      </c>
      <c r="D74" t="s">
        <v>72</v>
      </c>
      <c r="E74" t="s">
        <v>261</v>
      </c>
      <c r="F74" t="s">
        <v>1287</v>
      </c>
      <c r="H74" t="s">
        <v>1669</v>
      </c>
      <c r="I74" t="s">
        <v>1670</v>
      </c>
      <c r="J74" t="s">
        <v>1674</v>
      </c>
      <c r="K74">
        <v>0</v>
      </c>
      <c r="L74">
        <v>2</v>
      </c>
      <c r="M74">
        <v>2</v>
      </c>
      <c r="N74">
        <v>5</v>
      </c>
      <c r="O74">
        <v>2</v>
      </c>
      <c r="P74">
        <v>7</v>
      </c>
      <c r="Q74">
        <f>N74-K74</f>
        <v>5</v>
      </c>
      <c r="R74">
        <f>O74-L74</f>
        <v>0</v>
      </c>
      <c r="S74">
        <f>P74-M74</f>
        <v>5</v>
      </c>
      <c r="T74">
        <v>0</v>
      </c>
      <c r="U74" s="14">
        <v>0</v>
      </c>
      <c r="V74" s="14">
        <v>0</v>
      </c>
      <c r="W74" s="16">
        <v>0</v>
      </c>
      <c r="X74" s="16">
        <v>0</v>
      </c>
    </row>
    <row r="75" spans="1:24" x14ac:dyDescent="0.2">
      <c r="A75" t="s">
        <v>14</v>
      </c>
      <c r="B75" s="35" t="s">
        <v>19</v>
      </c>
      <c r="C75" t="s">
        <v>27</v>
      </c>
      <c r="D75" t="s">
        <v>134</v>
      </c>
      <c r="E75" t="s">
        <v>381</v>
      </c>
      <c r="F75" t="s">
        <v>1462</v>
      </c>
      <c r="H75" t="s">
        <v>1670</v>
      </c>
      <c r="I75" t="s">
        <v>1670</v>
      </c>
      <c r="J75" t="s">
        <v>1674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f>N75-K75</f>
        <v>0</v>
      </c>
      <c r="R75">
        <f>O75-L75</f>
        <v>0</v>
      </c>
      <c r="S75">
        <f>P75-M75</f>
        <v>0</v>
      </c>
      <c r="T75">
        <v>136</v>
      </c>
      <c r="U75" s="14">
        <v>1471688.4100000008</v>
      </c>
      <c r="V75" s="14">
        <v>5010</v>
      </c>
      <c r="W75" s="16">
        <v>4.7566262451397816E-3</v>
      </c>
      <c r="X75" s="16">
        <v>9.0732597813724704E-3</v>
      </c>
    </row>
    <row r="76" spans="1:24" x14ac:dyDescent="0.2">
      <c r="A76" t="s">
        <v>14</v>
      </c>
      <c r="B76" s="35" t="s">
        <v>19</v>
      </c>
      <c r="C76" t="s">
        <v>42</v>
      </c>
      <c r="D76" t="s">
        <v>109</v>
      </c>
      <c r="E76" t="s">
        <v>347</v>
      </c>
      <c r="F76" t="s">
        <v>347</v>
      </c>
      <c r="H76" t="s">
        <v>1670</v>
      </c>
      <c r="I76" t="s">
        <v>1670</v>
      </c>
      <c r="J76" t="s">
        <v>1674</v>
      </c>
      <c r="K76">
        <v>25</v>
      </c>
      <c r="L76">
        <v>0</v>
      </c>
      <c r="M76">
        <v>25</v>
      </c>
      <c r="N76">
        <v>25</v>
      </c>
      <c r="O76">
        <v>0</v>
      </c>
      <c r="P76">
        <v>25</v>
      </c>
      <c r="Q76">
        <f>N76-K76</f>
        <v>0</v>
      </c>
      <c r="R76">
        <f>O76-L76</f>
        <v>0</v>
      </c>
      <c r="S76">
        <f>P76-M76</f>
        <v>0</v>
      </c>
      <c r="T76">
        <v>67</v>
      </c>
      <c r="U76" s="14">
        <v>1438618.2</v>
      </c>
      <c r="V76" s="14">
        <v>3458</v>
      </c>
      <c r="W76" s="16">
        <v>4.6497404208379594E-3</v>
      </c>
      <c r="X76" s="16">
        <v>6.2625413820331342E-3</v>
      </c>
    </row>
    <row r="77" spans="1:24" x14ac:dyDescent="0.2">
      <c r="A77" t="s">
        <v>12</v>
      </c>
      <c r="B77" s="35" t="s">
        <v>19</v>
      </c>
      <c r="C77" t="s">
        <v>28</v>
      </c>
      <c r="D77" t="s">
        <v>73</v>
      </c>
      <c r="E77" t="s">
        <v>266</v>
      </c>
      <c r="F77" t="s">
        <v>266</v>
      </c>
      <c r="H77" t="s">
        <v>1670</v>
      </c>
      <c r="I77" t="s">
        <v>1671</v>
      </c>
      <c r="J77" t="s">
        <v>1674</v>
      </c>
      <c r="K77">
        <v>12</v>
      </c>
      <c r="L77">
        <v>0</v>
      </c>
      <c r="M77">
        <v>12</v>
      </c>
      <c r="N77">
        <v>12</v>
      </c>
      <c r="O77">
        <v>0</v>
      </c>
      <c r="P77">
        <v>12</v>
      </c>
      <c r="Q77">
        <f>N77-K77</f>
        <v>0</v>
      </c>
      <c r="R77">
        <f>O77-L77</f>
        <v>0</v>
      </c>
      <c r="S77">
        <f>P77-M77</f>
        <v>0</v>
      </c>
      <c r="T77">
        <v>274</v>
      </c>
      <c r="U77" s="14">
        <v>1383561.7099999995</v>
      </c>
      <c r="V77" s="14">
        <v>3452</v>
      </c>
      <c r="W77" s="16">
        <v>4.4717930078395259E-3</v>
      </c>
      <c r="X77" s="16">
        <v>6.2516752026542458E-3</v>
      </c>
    </row>
    <row r="78" spans="1:24" x14ac:dyDescent="0.2">
      <c r="A78" t="s">
        <v>16</v>
      </c>
      <c r="B78" t="s">
        <v>22</v>
      </c>
      <c r="C78" t="s">
        <v>39</v>
      </c>
      <c r="D78" t="s">
        <v>156</v>
      </c>
      <c r="E78" t="s">
        <v>433</v>
      </c>
      <c r="F78" t="s">
        <v>994</v>
      </c>
      <c r="H78" t="s">
        <v>1670</v>
      </c>
      <c r="I78" t="s">
        <v>1671</v>
      </c>
      <c r="J78" t="s">
        <v>1674</v>
      </c>
      <c r="K78">
        <v>35</v>
      </c>
      <c r="L78">
        <v>0</v>
      </c>
      <c r="M78">
        <v>35</v>
      </c>
      <c r="N78">
        <v>10</v>
      </c>
      <c r="O78">
        <v>0</v>
      </c>
      <c r="P78">
        <v>10</v>
      </c>
      <c r="Q78">
        <f>N78-K78</f>
        <v>-25</v>
      </c>
      <c r="R78">
        <f>O78-L78</f>
        <v>0</v>
      </c>
      <c r="S78">
        <f>P78-M78</f>
        <v>-25</v>
      </c>
      <c r="T78">
        <v>213</v>
      </c>
      <c r="U78" s="14">
        <v>1337587.07</v>
      </c>
      <c r="V78" s="14">
        <v>770</v>
      </c>
      <c r="W78" s="16">
        <v>4.3231989319815452E-3</v>
      </c>
      <c r="X78" s="16">
        <v>1.3944930202907789E-3</v>
      </c>
    </row>
    <row r="79" spans="1:24" x14ac:dyDescent="0.2">
      <c r="A79" t="s">
        <v>14</v>
      </c>
      <c r="B79" s="35" t="s">
        <v>19</v>
      </c>
      <c r="C79" t="s">
        <v>48</v>
      </c>
      <c r="D79" t="s">
        <v>129</v>
      </c>
      <c r="E79" t="s">
        <v>371</v>
      </c>
      <c r="F79" t="s">
        <v>1506</v>
      </c>
      <c r="H79" t="s">
        <v>1670</v>
      </c>
      <c r="I79" t="s">
        <v>1670</v>
      </c>
      <c r="J79" t="s">
        <v>1674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f>N79-K79</f>
        <v>0</v>
      </c>
      <c r="R79">
        <f>O79-L79</f>
        <v>0</v>
      </c>
      <c r="S79">
        <f>P79-M79</f>
        <v>0</v>
      </c>
      <c r="T79">
        <v>79</v>
      </c>
      <c r="U79" s="14">
        <v>1182548.24</v>
      </c>
      <c r="V79" s="14">
        <v>1272</v>
      </c>
      <c r="W79" s="16">
        <v>3.8220998115544402E-3</v>
      </c>
      <c r="X79" s="16">
        <v>2.3036300283245078E-3</v>
      </c>
    </row>
    <row r="80" spans="1:24" x14ac:dyDescent="0.2">
      <c r="A80" t="s">
        <v>14</v>
      </c>
      <c r="B80" s="35" t="s">
        <v>19</v>
      </c>
      <c r="C80" t="s">
        <v>27</v>
      </c>
      <c r="D80" t="s">
        <v>70</v>
      </c>
      <c r="E80" t="s">
        <v>387</v>
      </c>
      <c r="F80" t="s">
        <v>906</v>
      </c>
      <c r="H80" t="s">
        <v>1670</v>
      </c>
      <c r="I80" t="s">
        <v>1670</v>
      </c>
      <c r="J80" t="s">
        <v>1674</v>
      </c>
      <c r="K80">
        <v>1</v>
      </c>
      <c r="L80">
        <v>0</v>
      </c>
      <c r="M80">
        <v>1</v>
      </c>
      <c r="N80">
        <v>1</v>
      </c>
      <c r="O80">
        <v>0</v>
      </c>
      <c r="P80">
        <v>1</v>
      </c>
      <c r="Q80">
        <f>N80-K80</f>
        <v>0</v>
      </c>
      <c r="R80">
        <f>O80-L80</f>
        <v>0</v>
      </c>
      <c r="S80">
        <f>P80-M80</f>
        <v>0</v>
      </c>
      <c r="T80">
        <v>52</v>
      </c>
      <c r="U80" s="14">
        <v>1103023.5699999996</v>
      </c>
      <c r="V80" s="14">
        <v>15554</v>
      </c>
      <c r="W80" s="16">
        <v>3.5650690909971709E-3</v>
      </c>
      <c r="X80" s="16">
        <v>2.8168759009873735E-2</v>
      </c>
    </row>
    <row r="81" spans="1:24" x14ac:dyDescent="0.2">
      <c r="A81" t="s">
        <v>14</v>
      </c>
      <c r="B81" s="35" t="s">
        <v>19</v>
      </c>
      <c r="C81" t="s">
        <v>48</v>
      </c>
      <c r="D81" t="s">
        <v>130</v>
      </c>
      <c r="E81" t="s">
        <v>373</v>
      </c>
      <c r="F81" t="s">
        <v>889</v>
      </c>
      <c r="H81" t="s">
        <v>1670</v>
      </c>
      <c r="I81" t="s">
        <v>1670</v>
      </c>
      <c r="J81" t="s">
        <v>1674</v>
      </c>
      <c r="K81">
        <v>1</v>
      </c>
      <c r="L81">
        <v>0</v>
      </c>
      <c r="M81">
        <v>1</v>
      </c>
      <c r="N81">
        <v>1</v>
      </c>
      <c r="O81">
        <v>0</v>
      </c>
      <c r="P81">
        <v>1</v>
      </c>
      <c r="Q81">
        <f>N81-K81</f>
        <v>0</v>
      </c>
      <c r="R81">
        <f>O81-L81</f>
        <v>0</v>
      </c>
      <c r="S81">
        <f>P81-M81</f>
        <v>0</v>
      </c>
      <c r="T81">
        <v>66</v>
      </c>
      <c r="U81" s="14">
        <v>969088.58</v>
      </c>
      <c r="V81" s="14">
        <v>905</v>
      </c>
      <c r="W81" s="16">
        <v>3.1321794356546162E-3</v>
      </c>
      <c r="X81" s="16">
        <v>1.6389820563157856E-3</v>
      </c>
    </row>
    <row r="82" spans="1:24" x14ac:dyDescent="0.2">
      <c r="A82" t="s">
        <v>16</v>
      </c>
      <c r="B82" t="s">
        <v>22</v>
      </c>
      <c r="C82" t="s">
        <v>39</v>
      </c>
      <c r="D82" t="s">
        <v>59</v>
      </c>
      <c r="E82" t="s">
        <v>603</v>
      </c>
      <c r="F82" t="s">
        <v>1371</v>
      </c>
      <c r="H82" t="s">
        <v>1670</v>
      </c>
      <c r="I82" t="s">
        <v>1670</v>
      </c>
      <c r="J82" t="s">
        <v>1674</v>
      </c>
      <c r="K82">
        <v>0</v>
      </c>
      <c r="L82">
        <v>0</v>
      </c>
      <c r="M82">
        <v>0</v>
      </c>
      <c r="N82">
        <v>5</v>
      </c>
      <c r="O82">
        <v>0</v>
      </c>
      <c r="P82">
        <v>5</v>
      </c>
      <c r="Q82">
        <f>N82-K82</f>
        <v>5</v>
      </c>
      <c r="R82">
        <f>O82-L82</f>
        <v>0</v>
      </c>
      <c r="S82">
        <f>P82-M82</f>
        <v>5</v>
      </c>
      <c r="T82">
        <v>129</v>
      </c>
      <c r="U82" s="14">
        <v>953857.26</v>
      </c>
      <c r="V82" s="14">
        <v>1606</v>
      </c>
      <c r="W82" s="16">
        <v>3.0829504711755648E-3</v>
      </c>
      <c r="X82" s="16">
        <v>2.908514013749339E-3</v>
      </c>
    </row>
    <row r="83" spans="1:24" x14ac:dyDescent="0.2">
      <c r="A83" t="s">
        <v>13</v>
      </c>
      <c r="B83" t="s">
        <v>22</v>
      </c>
      <c r="C83" t="s">
        <v>40</v>
      </c>
      <c r="D83" t="s">
        <v>107</v>
      </c>
      <c r="E83" t="s">
        <v>475</v>
      </c>
      <c r="F83" t="s">
        <v>1432</v>
      </c>
      <c r="H83" t="s">
        <v>1670</v>
      </c>
      <c r="I83" t="s">
        <v>1670</v>
      </c>
      <c r="J83" t="s">
        <v>1674</v>
      </c>
      <c r="K83">
        <v>0</v>
      </c>
      <c r="L83">
        <v>0</v>
      </c>
      <c r="M83">
        <v>0</v>
      </c>
      <c r="N83">
        <v>5</v>
      </c>
      <c r="O83">
        <v>0</v>
      </c>
      <c r="P83">
        <v>5</v>
      </c>
      <c r="Q83">
        <f>N83-K83</f>
        <v>5</v>
      </c>
      <c r="R83">
        <f>O83-L83</f>
        <v>0</v>
      </c>
      <c r="S83">
        <f>P83-M83</f>
        <v>5</v>
      </c>
      <c r="T83">
        <v>276</v>
      </c>
      <c r="U83" s="14">
        <v>951522.33999999985</v>
      </c>
      <c r="V83" s="14">
        <v>2508</v>
      </c>
      <c r="W83" s="16">
        <v>3.0754038045871512E-3</v>
      </c>
      <c r="X83" s="16">
        <v>4.5420629803756803E-3</v>
      </c>
    </row>
    <row r="84" spans="1:24" x14ac:dyDescent="0.2">
      <c r="A84" t="s">
        <v>12</v>
      </c>
      <c r="B84" s="35" t="s">
        <v>19</v>
      </c>
      <c r="C84" t="s">
        <v>27</v>
      </c>
      <c r="D84" t="s">
        <v>67</v>
      </c>
      <c r="E84" t="s">
        <v>252</v>
      </c>
      <c r="F84" t="s">
        <v>699</v>
      </c>
      <c r="H84" t="s">
        <v>1670</v>
      </c>
      <c r="I84" t="s">
        <v>1670</v>
      </c>
      <c r="J84" t="s">
        <v>1674</v>
      </c>
      <c r="K84">
        <v>10</v>
      </c>
      <c r="L84">
        <v>0</v>
      </c>
      <c r="M84">
        <v>10</v>
      </c>
      <c r="N84">
        <v>10</v>
      </c>
      <c r="O84">
        <v>0</v>
      </c>
      <c r="P84">
        <v>10</v>
      </c>
      <c r="Q84">
        <f>N84-K84</f>
        <v>0</v>
      </c>
      <c r="R84">
        <f>O84-L84</f>
        <v>0</v>
      </c>
      <c r="S84">
        <f>P84-M84</f>
        <v>0</v>
      </c>
      <c r="T84">
        <v>100</v>
      </c>
      <c r="U84" s="14">
        <v>904554.78000000014</v>
      </c>
      <c r="V84" s="14">
        <v>1861</v>
      </c>
      <c r="W84" s="16">
        <v>2.9236005240502226E-3</v>
      </c>
      <c r="X84" s="16">
        <v>3.3703266373521293E-3</v>
      </c>
    </row>
    <row r="85" spans="1:24" x14ac:dyDescent="0.2">
      <c r="A85" t="s">
        <v>16</v>
      </c>
      <c r="B85" t="s">
        <v>22</v>
      </c>
      <c r="C85" t="s">
        <v>39</v>
      </c>
      <c r="D85" t="s">
        <v>161</v>
      </c>
      <c r="E85" t="s">
        <v>455</v>
      </c>
      <c r="F85" t="s">
        <v>1032</v>
      </c>
      <c r="H85" t="s">
        <v>1670</v>
      </c>
      <c r="I85" t="s">
        <v>1671</v>
      </c>
      <c r="J85" t="s">
        <v>1674</v>
      </c>
      <c r="K85">
        <v>6</v>
      </c>
      <c r="L85">
        <v>0</v>
      </c>
      <c r="M85">
        <v>6</v>
      </c>
      <c r="N85">
        <v>10</v>
      </c>
      <c r="O85">
        <v>0</v>
      </c>
      <c r="P85">
        <v>10</v>
      </c>
      <c r="Q85">
        <f>N85-K85</f>
        <v>4</v>
      </c>
      <c r="R85">
        <f>O85-L85</f>
        <v>0</v>
      </c>
      <c r="S85">
        <f>P85-M85</f>
        <v>4</v>
      </c>
      <c r="T85">
        <v>142</v>
      </c>
      <c r="U85" s="14">
        <v>886137.82000000007</v>
      </c>
      <c r="V85" s="14">
        <v>1922</v>
      </c>
      <c r="W85" s="16">
        <v>2.8640752911976452E-3</v>
      </c>
      <c r="X85" s="16">
        <v>3.480799461037503E-3</v>
      </c>
    </row>
    <row r="86" spans="1:24" x14ac:dyDescent="0.2">
      <c r="A86" t="s">
        <v>14</v>
      </c>
      <c r="B86" s="35" t="s">
        <v>19</v>
      </c>
      <c r="C86" t="s">
        <v>42</v>
      </c>
      <c r="D86" t="s">
        <v>109</v>
      </c>
      <c r="E86" t="s">
        <v>350</v>
      </c>
      <c r="F86" t="s">
        <v>350</v>
      </c>
      <c r="H86" t="s">
        <v>1670</v>
      </c>
      <c r="I86" t="s">
        <v>1670</v>
      </c>
      <c r="J86" t="s">
        <v>1674</v>
      </c>
      <c r="K86">
        <v>6</v>
      </c>
      <c r="L86">
        <v>0</v>
      </c>
      <c r="M86">
        <v>6</v>
      </c>
      <c r="N86">
        <v>6</v>
      </c>
      <c r="O86">
        <v>0</v>
      </c>
      <c r="P86">
        <v>6</v>
      </c>
      <c r="Q86">
        <f>N86-K86</f>
        <v>0</v>
      </c>
      <c r="R86">
        <f>O86-L86</f>
        <v>0</v>
      </c>
      <c r="S86">
        <f>P86-M86</f>
        <v>0</v>
      </c>
      <c r="T86">
        <v>68</v>
      </c>
      <c r="U86" s="14">
        <v>865757.7100000002</v>
      </c>
      <c r="V86" s="14">
        <v>1358</v>
      </c>
      <c r="W86" s="16">
        <v>2.7982049850607399E-3</v>
      </c>
      <c r="X86" s="16">
        <v>2.4593785994219191E-3</v>
      </c>
    </row>
    <row r="87" spans="1:24" x14ac:dyDescent="0.2">
      <c r="A87" t="s">
        <v>16</v>
      </c>
      <c r="B87" t="s">
        <v>22</v>
      </c>
      <c r="C87" t="s">
        <v>39</v>
      </c>
      <c r="D87" t="s">
        <v>163</v>
      </c>
      <c r="E87" t="s">
        <v>614</v>
      </c>
      <c r="F87" t="s">
        <v>1437</v>
      </c>
      <c r="H87" t="s">
        <v>1670</v>
      </c>
      <c r="I87" t="s">
        <v>1670</v>
      </c>
      <c r="J87" t="s">
        <v>1674</v>
      </c>
      <c r="K87">
        <v>0</v>
      </c>
      <c r="L87">
        <v>0</v>
      </c>
      <c r="M87">
        <v>0</v>
      </c>
      <c r="N87">
        <v>5</v>
      </c>
      <c r="O87">
        <v>0</v>
      </c>
      <c r="P87">
        <v>5</v>
      </c>
      <c r="Q87">
        <f>N87-K87</f>
        <v>5</v>
      </c>
      <c r="R87">
        <f>O87-L87</f>
        <v>0</v>
      </c>
      <c r="S87">
        <f>P87-M87</f>
        <v>5</v>
      </c>
      <c r="T87">
        <v>85</v>
      </c>
      <c r="U87" s="14">
        <v>744624.45000000019</v>
      </c>
      <c r="V87" s="14">
        <v>1091</v>
      </c>
      <c r="W87" s="16">
        <v>2.4066916458510218E-3</v>
      </c>
      <c r="X87" s="16">
        <v>1.9758336170613506E-3</v>
      </c>
    </row>
    <row r="88" spans="1:24" x14ac:dyDescent="0.2">
      <c r="A88" t="s">
        <v>13</v>
      </c>
      <c r="B88" t="s">
        <v>22</v>
      </c>
      <c r="C88" t="s">
        <v>37</v>
      </c>
      <c r="D88" t="s">
        <v>217</v>
      </c>
      <c r="E88" t="s">
        <v>637</v>
      </c>
      <c r="F88" t="s">
        <v>1471</v>
      </c>
      <c r="H88" t="s">
        <v>1670</v>
      </c>
      <c r="I88" t="s">
        <v>1670</v>
      </c>
      <c r="J88" t="s">
        <v>1674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f>N88-K88</f>
        <v>0</v>
      </c>
      <c r="R88">
        <f>O88-L88</f>
        <v>0</v>
      </c>
      <c r="S88">
        <f>P88-M88</f>
        <v>0</v>
      </c>
      <c r="T88">
        <v>118</v>
      </c>
      <c r="U88" s="14">
        <v>668487.36000000022</v>
      </c>
      <c r="V88" s="14">
        <v>2476</v>
      </c>
      <c r="W88" s="16">
        <v>2.1606098814899305E-3</v>
      </c>
      <c r="X88" s="16">
        <v>4.4841100236882713E-3</v>
      </c>
    </row>
    <row r="89" spans="1:24" x14ac:dyDescent="0.2">
      <c r="A89" t="s">
        <v>16</v>
      </c>
      <c r="B89" t="s">
        <v>22</v>
      </c>
      <c r="C89" t="s">
        <v>39</v>
      </c>
      <c r="D89" t="s">
        <v>158</v>
      </c>
      <c r="E89" t="s">
        <v>446</v>
      </c>
      <c r="F89" t="s">
        <v>1507</v>
      </c>
      <c r="H89" t="s">
        <v>1670</v>
      </c>
      <c r="I89" t="s">
        <v>1670</v>
      </c>
      <c r="J89" t="s">
        <v>1674</v>
      </c>
      <c r="K89">
        <v>0</v>
      </c>
      <c r="L89">
        <v>0</v>
      </c>
      <c r="M89">
        <v>0</v>
      </c>
      <c r="N89">
        <v>2</v>
      </c>
      <c r="O89">
        <v>0</v>
      </c>
      <c r="P89">
        <v>2</v>
      </c>
      <c r="Q89">
        <f>N89-K89</f>
        <v>2</v>
      </c>
      <c r="R89">
        <f>O89-L89</f>
        <v>0</v>
      </c>
      <c r="S89">
        <f>P89-M89</f>
        <v>2</v>
      </c>
      <c r="T89">
        <v>77</v>
      </c>
      <c r="U89" s="14">
        <v>601239.65999999992</v>
      </c>
      <c r="V89" s="14">
        <v>3485</v>
      </c>
      <c r="W89" s="16">
        <v>1.9432594066395594E-3</v>
      </c>
      <c r="X89" s="16">
        <v>6.3114391892381359E-3</v>
      </c>
    </row>
    <row r="90" spans="1:24" x14ac:dyDescent="0.2">
      <c r="A90" t="s">
        <v>16</v>
      </c>
      <c r="B90" t="s">
        <v>22</v>
      </c>
      <c r="C90" t="s">
        <v>39</v>
      </c>
      <c r="D90" t="s">
        <v>156</v>
      </c>
      <c r="E90" t="s">
        <v>433</v>
      </c>
      <c r="F90" t="s">
        <v>992</v>
      </c>
      <c r="H90" t="s">
        <v>1670</v>
      </c>
      <c r="I90" t="s">
        <v>1670</v>
      </c>
      <c r="J90" t="s">
        <v>1674</v>
      </c>
      <c r="K90">
        <v>10</v>
      </c>
      <c r="L90">
        <v>0</v>
      </c>
      <c r="M90">
        <v>10</v>
      </c>
      <c r="N90">
        <v>10</v>
      </c>
      <c r="O90">
        <v>0</v>
      </c>
      <c r="P90">
        <v>10</v>
      </c>
      <c r="Q90">
        <f>N90-K90</f>
        <v>0</v>
      </c>
      <c r="R90">
        <f>O90-L90</f>
        <v>0</v>
      </c>
      <c r="S90">
        <f>P90-M90</f>
        <v>0</v>
      </c>
      <c r="T90">
        <v>78</v>
      </c>
      <c r="U90" s="14">
        <v>599020.36</v>
      </c>
      <c r="V90" s="14">
        <v>348</v>
      </c>
      <c r="W90" s="16">
        <v>1.9360864340496357E-3</v>
      </c>
      <c r="X90" s="16">
        <v>6.3023840397557281E-4</v>
      </c>
    </row>
    <row r="91" spans="1:24" x14ac:dyDescent="0.2">
      <c r="A91" t="s">
        <v>16</v>
      </c>
      <c r="B91" t="s">
        <v>22</v>
      </c>
      <c r="C91" t="s">
        <v>39</v>
      </c>
      <c r="D91" t="s">
        <v>158</v>
      </c>
      <c r="E91" t="s">
        <v>446</v>
      </c>
      <c r="F91" t="s">
        <v>1018</v>
      </c>
      <c r="H91" t="s">
        <v>1670</v>
      </c>
      <c r="I91" t="s">
        <v>1670</v>
      </c>
      <c r="J91" t="s">
        <v>1674</v>
      </c>
      <c r="K91">
        <v>10</v>
      </c>
      <c r="L91">
        <v>0</v>
      </c>
      <c r="M91">
        <v>10</v>
      </c>
      <c r="N91">
        <v>7</v>
      </c>
      <c r="O91">
        <v>0</v>
      </c>
      <c r="P91">
        <v>7</v>
      </c>
      <c r="Q91">
        <f>N91-K91</f>
        <v>-3</v>
      </c>
      <c r="R91">
        <f>O91-L91</f>
        <v>0</v>
      </c>
      <c r="S91">
        <f>P91-M91</f>
        <v>-3</v>
      </c>
      <c r="T91">
        <v>99</v>
      </c>
      <c r="U91" s="14">
        <v>598224.55000000005</v>
      </c>
      <c r="V91" s="14">
        <v>3409</v>
      </c>
      <c r="W91" s="16">
        <v>1.9335143062089713E-3</v>
      </c>
      <c r="X91" s="16">
        <v>6.1738009171055392E-3</v>
      </c>
    </row>
    <row r="92" spans="1:24" x14ac:dyDescent="0.2">
      <c r="A92" t="s">
        <v>14</v>
      </c>
      <c r="B92" s="35" t="s">
        <v>19</v>
      </c>
      <c r="C92" t="s">
        <v>48</v>
      </c>
      <c r="D92" t="s">
        <v>131</v>
      </c>
      <c r="E92" t="s">
        <v>374</v>
      </c>
      <c r="F92" t="s">
        <v>1492</v>
      </c>
      <c r="H92" t="s">
        <v>1670</v>
      </c>
      <c r="I92" t="s">
        <v>1670</v>
      </c>
      <c r="J92" t="s">
        <v>1674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f>N92-K92</f>
        <v>0</v>
      </c>
      <c r="R92">
        <f>O92-L92</f>
        <v>0</v>
      </c>
      <c r="S92">
        <f>P92-M92</f>
        <v>0</v>
      </c>
      <c r="T92">
        <v>4</v>
      </c>
      <c r="U92" s="14">
        <v>578541.09000000008</v>
      </c>
      <c r="V92" s="14">
        <v>2867</v>
      </c>
      <c r="W92" s="16">
        <v>1.8698956340804337E-3</v>
      </c>
      <c r="X92" s="16">
        <v>5.1922227132125496E-3</v>
      </c>
    </row>
    <row r="93" spans="1:24" x14ac:dyDescent="0.2">
      <c r="A93" t="s">
        <v>14</v>
      </c>
      <c r="B93" s="35" t="s">
        <v>19</v>
      </c>
      <c r="C93" t="s">
        <v>27</v>
      </c>
      <c r="D93" t="s">
        <v>68</v>
      </c>
      <c r="E93" t="s">
        <v>253</v>
      </c>
      <c r="F93" t="s">
        <v>1521</v>
      </c>
      <c r="H93" t="s">
        <v>1670</v>
      </c>
      <c r="I93" t="s">
        <v>1671</v>
      </c>
      <c r="J93" t="s">
        <v>1674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f>N93-K93</f>
        <v>0</v>
      </c>
      <c r="R93">
        <f>O93-L93</f>
        <v>0</v>
      </c>
      <c r="S93">
        <f>P93-M93</f>
        <v>0</v>
      </c>
      <c r="T93">
        <v>38</v>
      </c>
      <c r="U93" s="14">
        <v>566448.24999999988</v>
      </c>
      <c r="V93" s="14">
        <v>1041</v>
      </c>
      <c r="W93" s="16">
        <v>1.8308105127113816E-3</v>
      </c>
      <c r="X93" s="16">
        <v>1.885282122237274E-3</v>
      </c>
    </row>
    <row r="94" spans="1:24" x14ac:dyDescent="0.2">
      <c r="A94" t="s">
        <v>17</v>
      </c>
      <c r="B94" t="s">
        <v>23</v>
      </c>
      <c r="C94" t="s">
        <v>61</v>
      </c>
      <c r="D94" t="s">
        <v>186</v>
      </c>
      <c r="E94" t="s">
        <v>561</v>
      </c>
      <c r="F94" t="s">
        <v>1229</v>
      </c>
      <c r="H94" t="s">
        <v>1669</v>
      </c>
      <c r="I94" t="s">
        <v>1671</v>
      </c>
      <c r="J94" t="s">
        <v>1674</v>
      </c>
      <c r="K94">
        <v>0</v>
      </c>
      <c r="L94">
        <v>2</v>
      </c>
      <c r="M94">
        <v>2</v>
      </c>
      <c r="N94">
        <v>7</v>
      </c>
      <c r="O94">
        <v>0</v>
      </c>
      <c r="P94">
        <v>7</v>
      </c>
      <c r="Q94">
        <f>N94-K94</f>
        <v>7</v>
      </c>
      <c r="R94">
        <f>O94-L94</f>
        <v>-2</v>
      </c>
      <c r="S94">
        <f>P94-M94</f>
        <v>5</v>
      </c>
      <c r="T94">
        <v>21</v>
      </c>
      <c r="U94" s="14">
        <v>39283.14</v>
      </c>
      <c r="V94" s="14">
        <v>43</v>
      </c>
      <c r="W94" s="16">
        <v>1.2696655993608066E-4</v>
      </c>
      <c r="X94" s="16">
        <v>7.7874285548705836E-5</v>
      </c>
    </row>
    <row r="95" spans="1:24" x14ac:dyDescent="0.2">
      <c r="A95" t="s">
        <v>12</v>
      </c>
      <c r="B95" t="s">
        <v>18</v>
      </c>
      <c r="C95" t="s">
        <v>32</v>
      </c>
      <c r="D95" t="s">
        <v>83</v>
      </c>
      <c r="E95" t="s">
        <v>284</v>
      </c>
      <c r="F95" t="s">
        <v>735</v>
      </c>
      <c r="H95" t="s">
        <v>1669</v>
      </c>
      <c r="I95" t="s">
        <v>1670</v>
      </c>
      <c r="J95" t="s">
        <v>1674</v>
      </c>
      <c r="K95">
        <v>2</v>
      </c>
      <c r="L95">
        <v>1</v>
      </c>
      <c r="M95">
        <v>3</v>
      </c>
      <c r="N95">
        <v>4</v>
      </c>
      <c r="O95">
        <v>3</v>
      </c>
      <c r="P95">
        <v>7</v>
      </c>
      <c r="Q95">
        <f>N95-K95</f>
        <v>2</v>
      </c>
      <c r="R95">
        <f>O95-L95</f>
        <v>2</v>
      </c>
      <c r="S95">
        <f>P95-M95</f>
        <v>4</v>
      </c>
      <c r="T95">
        <v>56</v>
      </c>
      <c r="U95" s="14">
        <v>287782.7</v>
      </c>
      <c r="V95" s="14">
        <v>1067</v>
      </c>
      <c r="W95" s="16">
        <v>9.3013897127666267E-4</v>
      </c>
      <c r="X95" s="16">
        <v>1.9323688995457936E-3</v>
      </c>
    </row>
    <row r="96" spans="1:24" x14ac:dyDescent="0.2">
      <c r="A96" t="s">
        <v>12</v>
      </c>
      <c r="B96" t="s">
        <v>18</v>
      </c>
      <c r="C96" t="s">
        <v>32</v>
      </c>
      <c r="D96" t="s">
        <v>83</v>
      </c>
      <c r="E96" t="s">
        <v>288</v>
      </c>
      <c r="F96" t="s">
        <v>746</v>
      </c>
      <c r="H96" t="s">
        <v>1669</v>
      </c>
      <c r="I96" t="s">
        <v>1670</v>
      </c>
      <c r="J96" t="s">
        <v>1674</v>
      </c>
      <c r="K96">
        <v>4</v>
      </c>
      <c r="L96">
        <v>1</v>
      </c>
      <c r="M96">
        <v>5</v>
      </c>
      <c r="N96">
        <v>6</v>
      </c>
      <c r="O96">
        <v>3</v>
      </c>
      <c r="P96">
        <v>9</v>
      </c>
      <c r="Q96">
        <f>N96-K96</f>
        <v>2</v>
      </c>
      <c r="R96">
        <f>O96-L96</f>
        <v>2</v>
      </c>
      <c r="S96">
        <f>P96-M96</f>
        <v>4</v>
      </c>
      <c r="T96">
        <v>83</v>
      </c>
      <c r="U96" s="14">
        <v>262314.96000000008</v>
      </c>
      <c r="V96" s="14">
        <v>983</v>
      </c>
      <c r="W96" s="16">
        <v>8.4782499797548291E-4</v>
      </c>
      <c r="X96" s="16">
        <v>1.7802423882413451E-3</v>
      </c>
    </row>
    <row r="97" spans="1:24" x14ac:dyDescent="0.2">
      <c r="A97" t="s">
        <v>14</v>
      </c>
      <c r="B97" t="s">
        <v>19</v>
      </c>
      <c r="C97" t="s">
        <v>48</v>
      </c>
      <c r="D97" t="s">
        <v>132</v>
      </c>
      <c r="E97" t="s">
        <v>375</v>
      </c>
      <c r="F97" t="s">
        <v>895</v>
      </c>
      <c r="H97" t="s">
        <v>1669</v>
      </c>
      <c r="I97" t="s">
        <v>1670</v>
      </c>
      <c r="J97" t="s">
        <v>1674</v>
      </c>
      <c r="K97">
        <v>1</v>
      </c>
      <c r="L97">
        <v>2</v>
      </c>
      <c r="M97">
        <v>3</v>
      </c>
      <c r="N97">
        <v>3</v>
      </c>
      <c r="O97">
        <v>4</v>
      </c>
      <c r="P97">
        <v>7</v>
      </c>
      <c r="Q97">
        <f>N97-K97</f>
        <v>2</v>
      </c>
      <c r="R97">
        <f>O97-L97</f>
        <v>2</v>
      </c>
      <c r="S97">
        <f>P97-M97</f>
        <v>4</v>
      </c>
      <c r="T97">
        <v>26</v>
      </c>
      <c r="U97" s="14">
        <v>56129.319999999992</v>
      </c>
      <c r="V97" s="14">
        <v>852</v>
      </c>
      <c r="W97" s="16">
        <v>1.8141489381835185E-4</v>
      </c>
      <c r="X97" s="16">
        <v>1.5429974718022645E-3</v>
      </c>
    </row>
    <row r="98" spans="1:24" x14ac:dyDescent="0.2">
      <c r="A98" t="s">
        <v>13</v>
      </c>
      <c r="B98" t="s">
        <v>22</v>
      </c>
      <c r="C98" t="s">
        <v>31</v>
      </c>
      <c r="D98" t="s">
        <v>94</v>
      </c>
      <c r="E98" t="s">
        <v>323</v>
      </c>
      <c r="F98" t="s">
        <v>835</v>
      </c>
      <c r="H98" t="s">
        <v>1669</v>
      </c>
      <c r="I98" t="s">
        <v>1670</v>
      </c>
      <c r="J98" t="s">
        <v>1674</v>
      </c>
      <c r="K98">
        <v>2</v>
      </c>
      <c r="L98">
        <v>2</v>
      </c>
      <c r="M98">
        <v>4</v>
      </c>
      <c r="N98">
        <v>5</v>
      </c>
      <c r="O98">
        <v>3</v>
      </c>
      <c r="P98">
        <v>8</v>
      </c>
      <c r="Q98">
        <f>N98-K98</f>
        <v>3</v>
      </c>
      <c r="R98">
        <f>O98-L98</f>
        <v>1</v>
      </c>
      <c r="S98">
        <f>P98-M98</f>
        <v>4</v>
      </c>
      <c r="T98">
        <v>3</v>
      </c>
      <c r="U98" s="14">
        <v>459</v>
      </c>
      <c r="V98" s="14">
        <v>3</v>
      </c>
      <c r="W98" s="16">
        <v>1.4835283282003685E-6</v>
      </c>
      <c r="X98" s="16">
        <v>5.4330896894445931E-6</v>
      </c>
    </row>
    <row r="99" spans="1:24" x14ac:dyDescent="0.2">
      <c r="A99" t="s">
        <v>12</v>
      </c>
      <c r="B99" t="s">
        <v>18</v>
      </c>
      <c r="C99" t="s">
        <v>32</v>
      </c>
      <c r="D99" t="s">
        <v>83</v>
      </c>
      <c r="E99" t="s">
        <v>285</v>
      </c>
      <c r="F99" t="s">
        <v>1165</v>
      </c>
      <c r="H99" t="s">
        <v>1669</v>
      </c>
      <c r="I99" t="s">
        <v>1670</v>
      </c>
      <c r="J99" t="s">
        <v>1674</v>
      </c>
      <c r="K99">
        <v>0</v>
      </c>
      <c r="L99">
        <v>1</v>
      </c>
      <c r="M99">
        <v>1</v>
      </c>
      <c r="N99">
        <v>3</v>
      </c>
      <c r="O99">
        <v>2</v>
      </c>
      <c r="P99">
        <v>5</v>
      </c>
      <c r="Q99">
        <f>N99-K99</f>
        <v>3</v>
      </c>
      <c r="R99">
        <f>O99-L99</f>
        <v>1</v>
      </c>
      <c r="S99">
        <f>P99-M99</f>
        <v>4</v>
      </c>
      <c r="T99">
        <v>94</v>
      </c>
      <c r="U99" s="14">
        <v>231744.27999999997</v>
      </c>
      <c r="V99" s="14">
        <v>465</v>
      </c>
      <c r="W99" s="16">
        <v>7.4901787424487586E-4</v>
      </c>
      <c r="X99" s="16">
        <v>8.4212890186391193E-4</v>
      </c>
    </row>
    <row r="100" spans="1:24" x14ac:dyDescent="0.2">
      <c r="A100" t="s">
        <v>13</v>
      </c>
      <c r="B100" t="s">
        <v>20</v>
      </c>
      <c r="C100" t="s">
        <v>33</v>
      </c>
      <c r="D100" t="s">
        <v>87</v>
      </c>
      <c r="E100" t="s">
        <v>298</v>
      </c>
      <c r="F100" t="s">
        <v>1579</v>
      </c>
      <c r="H100" t="s">
        <v>1669</v>
      </c>
      <c r="I100" t="s">
        <v>1670</v>
      </c>
      <c r="J100" t="s">
        <v>1674</v>
      </c>
      <c r="K100">
        <v>0</v>
      </c>
      <c r="L100">
        <v>0</v>
      </c>
      <c r="M100">
        <v>0</v>
      </c>
      <c r="N100">
        <v>3</v>
      </c>
      <c r="O100">
        <v>1</v>
      </c>
      <c r="P100">
        <v>4</v>
      </c>
      <c r="Q100">
        <f>N100-K100</f>
        <v>3</v>
      </c>
      <c r="R100">
        <f>O100-L100</f>
        <v>1</v>
      </c>
      <c r="S100">
        <f>P100-M100</f>
        <v>4</v>
      </c>
      <c r="T100">
        <v>7</v>
      </c>
      <c r="U100" s="14">
        <v>80260.429999999993</v>
      </c>
      <c r="V100" s="14">
        <v>82</v>
      </c>
      <c r="W100" s="16">
        <v>2.594087615218795E-4</v>
      </c>
      <c r="X100" s="16">
        <v>1.4850445151148555E-4</v>
      </c>
    </row>
    <row r="101" spans="1:24" x14ac:dyDescent="0.2">
      <c r="A101" t="s">
        <v>13</v>
      </c>
      <c r="B101" t="s">
        <v>20</v>
      </c>
      <c r="C101" t="s">
        <v>33</v>
      </c>
      <c r="D101" t="s">
        <v>87</v>
      </c>
      <c r="E101" t="s">
        <v>297</v>
      </c>
      <c r="F101" t="s">
        <v>764</v>
      </c>
      <c r="H101" t="s">
        <v>1669</v>
      </c>
      <c r="I101" t="s">
        <v>1670</v>
      </c>
      <c r="J101" t="s">
        <v>1674</v>
      </c>
      <c r="K101">
        <v>1</v>
      </c>
      <c r="L101">
        <v>0</v>
      </c>
      <c r="M101">
        <v>1</v>
      </c>
      <c r="N101">
        <v>5</v>
      </c>
      <c r="O101">
        <v>0</v>
      </c>
      <c r="P101">
        <v>5</v>
      </c>
      <c r="Q101">
        <f>N101-K101</f>
        <v>4</v>
      </c>
      <c r="R101">
        <f>O101-L101</f>
        <v>0</v>
      </c>
      <c r="S101">
        <f>P101-M101</f>
        <v>4</v>
      </c>
      <c r="T101">
        <v>11</v>
      </c>
      <c r="U101" s="14">
        <v>89354.27</v>
      </c>
      <c r="V101" s="14">
        <v>71</v>
      </c>
      <c r="W101" s="16">
        <v>2.8880085139578289E-4</v>
      </c>
      <c r="X101" s="16">
        <v>1.2858312265018871E-4</v>
      </c>
    </row>
    <row r="102" spans="1:24" x14ac:dyDescent="0.2">
      <c r="A102" t="s">
        <v>12</v>
      </c>
      <c r="B102" s="35" t="s">
        <v>19</v>
      </c>
      <c r="C102" t="s">
        <v>27</v>
      </c>
      <c r="D102" t="s">
        <v>65</v>
      </c>
      <c r="E102" t="s">
        <v>246</v>
      </c>
      <c r="F102" s="10" t="s">
        <v>246</v>
      </c>
      <c r="G102" s="10"/>
      <c r="H102" t="s">
        <v>1670</v>
      </c>
      <c r="I102" t="s">
        <v>1670</v>
      </c>
      <c r="J102" t="s">
        <v>1674</v>
      </c>
      <c r="K102">
        <v>47</v>
      </c>
      <c r="L102">
        <v>0</v>
      </c>
      <c r="M102">
        <v>47</v>
      </c>
      <c r="N102">
        <v>47</v>
      </c>
      <c r="O102">
        <v>0</v>
      </c>
      <c r="P102">
        <v>47</v>
      </c>
      <c r="Q102">
        <f>N102-K102</f>
        <v>0</v>
      </c>
      <c r="R102">
        <f>O102-L102</f>
        <v>0</v>
      </c>
      <c r="S102">
        <f>P102-M102</f>
        <v>0</v>
      </c>
      <c r="T102">
        <v>97</v>
      </c>
      <c r="U102" s="14">
        <v>558087.93000000017</v>
      </c>
      <c r="V102" s="14">
        <v>1234</v>
      </c>
      <c r="W102" s="16">
        <v>1.803789223925282E-3</v>
      </c>
      <c r="X102" s="16">
        <v>2.2348108922582094E-3</v>
      </c>
    </row>
    <row r="103" spans="1:24" x14ac:dyDescent="0.2">
      <c r="A103" t="s">
        <v>16</v>
      </c>
      <c r="B103" t="s">
        <v>22</v>
      </c>
      <c r="C103" t="s">
        <v>39</v>
      </c>
      <c r="D103" t="s">
        <v>156</v>
      </c>
      <c r="E103" t="s">
        <v>436</v>
      </c>
      <c r="F103" t="s">
        <v>999</v>
      </c>
      <c r="H103" t="s">
        <v>1670</v>
      </c>
      <c r="I103" t="s">
        <v>1670</v>
      </c>
      <c r="J103" t="s">
        <v>1673</v>
      </c>
      <c r="K103">
        <v>4</v>
      </c>
      <c r="L103">
        <v>0</v>
      </c>
      <c r="M103">
        <v>4</v>
      </c>
      <c r="N103">
        <v>5</v>
      </c>
      <c r="O103">
        <v>0</v>
      </c>
      <c r="P103">
        <v>5</v>
      </c>
      <c r="Q103">
        <f>N103-K103</f>
        <v>1</v>
      </c>
      <c r="R103">
        <f>O103-L103</f>
        <v>0</v>
      </c>
      <c r="S103">
        <f>P103-M103</f>
        <v>1</v>
      </c>
      <c r="T103">
        <v>106</v>
      </c>
      <c r="U103" s="14">
        <v>554401.42000000016</v>
      </c>
      <c r="V103" s="14">
        <v>714</v>
      </c>
      <c r="W103" s="16">
        <v>1.791874099704816E-3</v>
      </c>
      <c r="X103" s="16">
        <v>1.2930753460878132E-3</v>
      </c>
    </row>
    <row r="104" spans="1:24" x14ac:dyDescent="0.2">
      <c r="A104" t="s">
        <v>14</v>
      </c>
      <c r="B104" s="35" t="s">
        <v>19</v>
      </c>
      <c r="C104" t="s">
        <v>57</v>
      </c>
      <c r="D104" t="s">
        <v>147</v>
      </c>
      <c r="E104" t="s">
        <v>403</v>
      </c>
      <c r="F104" t="s">
        <v>923</v>
      </c>
      <c r="H104" t="s">
        <v>1670</v>
      </c>
      <c r="I104" t="s">
        <v>1670</v>
      </c>
      <c r="J104" t="s">
        <v>1674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1</v>
      </c>
      <c r="Q104">
        <f>N104-K104</f>
        <v>0</v>
      </c>
      <c r="R104">
        <f>O104-L104</f>
        <v>0</v>
      </c>
      <c r="S104">
        <f>P104-M104</f>
        <v>0</v>
      </c>
      <c r="T104">
        <v>71</v>
      </c>
      <c r="U104" s="14">
        <v>548564.74000000011</v>
      </c>
      <c r="V104" s="14">
        <v>1619</v>
      </c>
      <c r="W104" s="16">
        <v>1.7730094371282569E-3</v>
      </c>
      <c r="X104" s="16">
        <v>2.9320574024035988E-3</v>
      </c>
    </row>
    <row r="105" spans="1:24" x14ac:dyDescent="0.2">
      <c r="A105" t="s">
        <v>14</v>
      </c>
      <c r="B105" s="35" t="s">
        <v>19</v>
      </c>
      <c r="C105" t="s">
        <v>27</v>
      </c>
      <c r="D105" t="s">
        <v>70</v>
      </c>
      <c r="E105" t="s">
        <v>387</v>
      </c>
      <c r="F105" t="s">
        <v>1359</v>
      </c>
      <c r="H105" t="s">
        <v>1670</v>
      </c>
      <c r="I105" t="s">
        <v>1670</v>
      </c>
      <c r="J105" t="s">
        <v>1674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f>N105-K105</f>
        <v>0</v>
      </c>
      <c r="R105">
        <f>O105-L105</f>
        <v>0</v>
      </c>
      <c r="S105">
        <f>P105-M105</f>
        <v>0</v>
      </c>
      <c r="T105">
        <v>7</v>
      </c>
      <c r="U105" s="14">
        <v>543042.04999999993</v>
      </c>
      <c r="V105" s="14">
        <v>14140</v>
      </c>
      <c r="W105" s="16">
        <v>1.7551596178191737E-3</v>
      </c>
      <c r="X105" s="16">
        <v>2.5607962736248852E-2</v>
      </c>
    </row>
    <row r="106" spans="1:24" x14ac:dyDescent="0.2">
      <c r="A106" t="s">
        <v>14</v>
      </c>
      <c r="B106" s="35" t="s">
        <v>19</v>
      </c>
      <c r="C106" t="s">
        <v>34</v>
      </c>
      <c r="D106" t="s">
        <v>115</v>
      </c>
      <c r="E106" t="s">
        <v>358</v>
      </c>
      <c r="F106" t="s">
        <v>358</v>
      </c>
      <c r="H106" t="s">
        <v>1670</v>
      </c>
      <c r="I106" t="s">
        <v>1670</v>
      </c>
      <c r="J106" t="s">
        <v>1674</v>
      </c>
      <c r="K106">
        <v>4</v>
      </c>
      <c r="L106">
        <v>0</v>
      </c>
      <c r="M106">
        <v>4</v>
      </c>
      <c r="N106">
        <v>4</v>
      </c>
      <c r="O106">
        <v>0</v>
      </c>
      <c r="P106">
        <v>4</v>
      </c>
      <c r="Q106">
        <f>N106-K106</f>
        <v>0</v>
      </c>
      <c r="R106">
        <f>O106-L106</f>
        <v>0</v>
      </c>
      <c r="S106">
        <f>P106-M106</f>
        <v>0</v>
      </c>
      <c r="T106">
        <v>21</v>
      </c>
      <c r="U106" s="14">
        <v>529770.80000000005</v>
      </c>
      <c r="V106" s="14">
        <v>1204</v>
      </c>
      <c r="W106" s="16">
        <v>1.7122657717938384E-3</v>
      </c>
      <c r="X106" s="16">
        <v>2.1804799953637636E-3</v>
      </c>
    </row>
    <row r="107" spans="1:24" x14ac:dyDescent="0.2">
      <c r="A107" t="s">
        <v>12</v>
      </c>
      <c r="B107" t="s">
        <v>19</v>
      </c>
      <c r="C107" t="s">
        <v>28</v>
      </c>
      <c r="D107" t="s">
        <v>72</v>
      </c>
      <c r="E107" t="s">
        <v>265</v>
      </c>
      <c r="F107" t="s">
        <v>1211</v>
      </c>
      <c r="H107" t="s">
        <v>1669</v>
      </c>
      <c r="I107" t="s">
        <v>1670</v>
      </c>
      <c r="J107" t="s">
        <v>1674</v>
      </c>
      <c r="K107">
        <v>0</v>
      </c>
      <c r="L107">
        <v>1</v>
      </c>
      <c r="M107">
        <v>1</v>
      </c>
      <c r="N107">
        <v>4</v>
      </c>
      <c r="O107">
        <v>1</v>
      </c>
      <c r="P107">
        <v>5</v>
      </c>
      <c r="Q107">
        <f>N107-K107</f>
        <v>4</v>
      </c>
      <c r="R107">
        <f>O107-L107</f>
        <v>0</v>
      </c>
      <c r="S107">
        <f>P107-M107</f>
        <v>4</v>
      </c>
      <c r="T107">
        <v>1</v>
      </c>
      <c r="U107" s="14">
        <v>1602.66</v>
      </c>
      <c r="V107" s="14">
        <v>10</v>
      </c>
      <c r="W107" s="16">
        <v>5.1799379313150385E-6</v>
      </c>
      <c r="X107" s="16">
        <v>1.8110298964815311E-5</v>
      </c>
    </row>
    <row r="108" spans="1:24" x14ac:dyDescent="0.2">
      <c r="A108" t="s">
        <v>17</v>
      </c>
      <c r="B108" t="s">
        <v>23</v>
      </c>
      <c r="C108" t="s">
        <v>61</v>
      </c>
      <c r="D108" t="s">
        <v>187</v>
      </c>
      <c r="E108" t="s">
        <v>516</v>
      </c>
      <c r="F108" t="s">
        <v>1220</v>
      </c>
      <c r="H108" t="s">
        <v>1669</v>
      </c>
      <c r="I108" t="s">
        <v>1671</v>
      </c>
      <c r="J108" t="s">
        <v>1674</v>
      </c>
      <c r="K108">
        <v>0</v>
      </c>
      <c r="L108">
        <v>1</v>
      </c>
      <c r="M108">
        <v>1</v>
      </c>
      <c r="N108">
        <v>4</v>
      </c>
      <c r="O108">
        <v>1</v>
      </c>
      <c r="P108">
        <v>5</v>
      </c>
      <c r="Q108">
        <f>N108-K108</f>
        <v>4</v>
      </c>
      <c r="R108">
        <f>O108-L108</f>
        <v>0</v>
      </c>
      <c r="S108">
        <f>P108-M108</f>
        <v>4</v>
      </c>
      <c r="T108">
        <v>15</v>
      </c>
      <c r="U108" s="14">
        <v>7076.4</v>
      </c>
      <c r="V108" s="14">
        <v>91</v>
      </c>
      <c r="W108" s="16">
        <v>2.2871546539601497E-5</v>
      </c>
      <c r="X108" s="16">
        <v>1.6480372057981932E-4</v>
      </c>
    </row>
    <row r="109" spans="1:24" x14ac:dyDescent="0.2">
      <c r="A109" t="s">
        <v>12</v>
      </c>
      <c r="B109" t="s">
        <v>18</v>
      </c>
      <c r="C109" t="s">
        <v>32</v>
      </c>
      <c r="D109" t="s">
        <v>83</v>
      </c>
      <c r="E109" t="s">
        <v>287</v>
      </c>
      <c r="F109" t="s">
        <v>1278</v>
      </c>
      <c r="H109" t="s">
        <v>1669</v>
      </c>
      <c r="I109" t="s">
        <v>1671</v>
      </c>
      <c r="J109" t="s">
        <v>1674</v>
      </c>
      <c r="K109">
        <v>0</v>
      </c>
      <c r="L109">
        <v>1</v>
      </c>
      <c r="M109">
        <v>1</v>
      </c>
      <c r="N109">
        <v>4</v>
      </c>
      <c r="O109">
        <v>1</v>
      </c>
      <c r="P109">
        <v>5</v>
      </c>
      <c r="Q109">
        <f>N109-K109</f>
        <v>4</v>
      </c>
      <c r="R109">
        <f>O109-L109</f>
        <v>0</v>
      </c>
      <c r="S109">
        <f>P109-M109</f>
        <v>4</v>
      </c>
      <c r="T109">
        <v>62</v>
      </c>
      <c r="U109" s="14">
        <v>418921.66999999993</v>
      </c>
      <c r="V109" s="14">
        <v>863</v>
      </c>
      <c r="W109" s="16">
        <v>1.3539916443180966E-3</v>
      </c>
      <c r="X109" s="16">
        <v>1.5629188006635614E-3</v>
      </c>
    </row>
    <row r="110" spans="1:24" x14ac:dyDescent="0.2">
      <c r="A110" t="s">
        <v>14</v>
      </c>
      <c r="B110" s="35" t="s">
        <v>19</v>
      </c>
      <c r="C110" t="s">
        <v>27</v>
      </c>
      <c r="D110" t="s">
        <v>105</v>
      </c>
      <c r="E110" t="s">
        <v>342</v>
      </c>
      <c r="F110" t="s">
        <v>898</v>
      </c>
      <c r="H110" t="s">
        <v>1670</v>
      </c>
      <c r="I110" t="s">
        <v>1670</v>
      </c>
      <c r="J110" t="s">
        <v>1674</v>
      </c>
      <c r="K110">
        <v>3</v>
      </c>
      <c r="L110">
        <v>0</v>
      </c>
      <c r="M110">
        <v>3</v>
      </c>
      <c r="N110">
        <v>3</v>
      </c>
      <c r="O110">
        <v>0</v>
      </c>
      <c r="P110">
        <v>3</v>
      </c>
      <c r="Q110">
        <f>N110-K110</f>
        <v>0</v>
      </c>
      <c r="R110">
        <f>O110-L110</f>
        <v>0</v>
      </c>
      <c r="S110">
        <f>P110-M110</f>
        <v>0</v>
      </c>
      <c r="T110">
        <v>128</v>
      </c>
      <c r="U110" s="14">
        <v>516638.96000000008</v>
      </c>
      <c r="V110" s="14">
        <v>1731</v>
      </c>
      <c r="W110" s="16">
        <v>1.6698225111372051E-3</v>
      </c>
      <c r="X110" s="16">
        <v>3.1348927508095302E-3</v>
      </c>
    </row>
    <row r="111" spans="1:24" x14ac:dyDescent="0.2">
      <c r="A111" t="s">
        <v>16</v>
      </c>
      <c r="B111" t="s">
        <v>22</v>
      </c>
      <c r="C111" t="s">
        <v>40</v>
      </c>
      <c r="D111" t="s">
        <v>107</v>
      </c>
      <c r="E111" t="s">
        <v>344</v>
      </c>
      <c r="F111" t="s">
        <v>1056</v>
      </c>
      <c r="H111" t="s">
        <v>1670</v>
      </c>
      <c r="I111" t="s">
        <v>1670</v>
      </c>
      <c r="J111" t="s">
        <v>1674</v>
      </c>
      <c r="K111">
        <v>2</v>
      </c>
      <c r="L111">
        <v>0</v>
      </c>
      <c r="M111">
        <v>2</v>
      </c>
      <c r="N111">
        <v>10</v>
      </c>
      <c r="O111">
        <v>0</v>
      </c>
      <c r="P111">
        <v>10</v>
      </c>
      <c r="Q111">
        <f>N111-K111</f>
        <v>8</v>
      </c>
      <c r="R111">
        <f>O111-L111</f>
        <v>0</v>
      </c>
      <c r="S111">
        <f>P111-M111</f>
        <v>8</v>
      </c>
      <c r="T111">
        <v>61</v>
      </c>
      <c r="U111" s="14">
        <v>502191.1700000001</v>
      </c>
      <c r="V111" s="14">
        <v>1144</v>
      </c>
      <c r="W111" s="16">
        <v>1.6231259844598849E-3</v>
      </c>
      <c r="X111" s="16">
        <v>2.0718182015748714E-3</v>
      </c>
    </row>
    <row r="112" spans="1:24" x14ac:dyDescent="0.2">
      <c r="A112" t="s">
        <v>13</v>
      </c>
      <c r="B112" t="s">
        <v>19</v>
      </c>
      <c r="C112" t="s">
        <v>34</v>
      </c>
      <c r="D112" t="s">
        <v>85</v>
      </c>
      <c r="E112" t="s">
        <v>292</v>
      </c>
      <c r="F112" t="s">
        <v>752</v>
      </c>
      <c r="H112" t="s">
        <v>1670</v>
      </c>
      <c r="I112" t="s">
        <v>1670</v>
      </c>
      <c r="J112" t="s">
        <v>1674</v>
      </c>
      <c r="K112">
        <v>15</v>
      </c>
      <c r="L112">
        <v>0</v>
      </c>
      <c r="M112">
        <v>15</v>
      </c>
      <c r="N112">
        <v>15</v>
      </c>
      <c r="O112">
        <v>0</v>
      </c>
      <c r="P112">
        <v>15</v>
      </c>
      <c r="Q112">
        <f>N112-K112</f>
        <v>0</v>
      </c>
      <c r="R112">
        <f>O112-L112</f>
        <v>0</v>
      </c>
      <c r="S112">
        <f>P112-M112</f>
        <v>0</v>
      </c>
      <c r="T112">
        <v>30</v>
      </c>
      <c r="U112" s="14">
        <v>501065.49000000005</v>
      </c>
      <c r="V112" s="14">
        <v>446</v>
      </c>
      <c r="W112" s="16">
        <v>1.6194876877965109E-3</v>
      </c>
      <c r="X112" s="16">
        <v>8.0771933383076287E-4</v>
      </c>
    </row>
    <row r="113" spans="1:24" x14ac:dyDescent="0.2">
      <c r="A113" t="s">
        <v>16</v>
      </c>
      <c r="B113" t="s">
        <v>22</v>
      </c>
      <c r="C113" t="s">
        <v>39</v>
      </c>
      <c r="D113" t="s">
        <v>163</v>
      </c>
      <c r="E113" t="s">
        <v>614</v>
      </c>
      <c r="F113" t="s">
        <v>1603</v>
      </c>
      <c r="H113" t="s">
        <v>1670</v>
      </c>
      <c r="I113" t="s">
        <v>1670</v>
      </c>
      <c r="J113" t="s">
        <v>1674</v>
      </c>
      <c r="K113">
        <v>0</v>
      </c>
      <c r="L113">
        <v>0</v>
      </c>
      <c r="M113">
        <v>0</v>
      </c>
      <c r="N113">
        <v>5</v>
      </c>
      <c r="O113">
        <v>0</v>
      </c>
      <c r="P113">
        <v>5</v>
      </c>
      <c r="Q113">
        <f>N113-K113</f>
        <v>5</v>
      </c>
      <c r="R113">
        <f>O113-L113</f>
        <v>0</v>
      </c>
      <c r="S113">
        <f>P113-M113</f>
        <v>5</v>
      </c>
      <c r="T113">
        <v>39</v>
      </c>
      <c r="U113" s="14">
        <v>497222.02999999997</v>
      </c>
      <c r="V113" s="14">
        <v>487</v>
      </c>
      <c r="W113" s="16">
        <v>1.6070652873862602E-3</v>
      </c>
      <c r="X113" s="16">
        <v>8.8197155958650566E-4</v>
      </c>
    </row>
    <row r="114" spans="1:24" x14ac:dyDescent="0.2">
      <c r="A114" t="s">
        <v>16</v>
      </c>
      <c r="B114" s="2" t="s">
        <v>22</v>
      </c>
      <c r="C114" s="2" t="s">
        <v>39</v>
      </c>
      <c r="D114" s="2" t="s">
        <v>163</v>
      </c>
      <c r="E114" s="2" t="s">
        <v>457</v>
      </c>
      <c r="F114" s="2" t="s">
        <v>1683</v>
      </c>
      <c r="G114" s="2"/>
      <c r="H114" t="s">
        <v>1669</v>
      </c>
      <c r="I114" s="3">
        <v>0</v>
      </c>
      <c r="J114" t="s">
        <v>1674</v>
      </c>
      <c r="K114">
        <v>1</v>
      </c>
      <c r="L114">
        <v>0</v>
      </c>
      <c r="M114">
        <v>1</v>
      </c>
      <c r="N114">
        <v>5</v>
      </c>
      <c r="O114">
        <v>0</v>
      </c>
      <c r="P114">
        <v>5</v>
      </c>
      <c r="Q114">
        <f>N114-K114</f>
        <v>4</v>
      </c>
      <c r="R114">
        <f>O114-L114</f>
        <v>0</v>
      </c>
      <c r="S114">
        <f>P114-M114</f>
        <v>4</v>
      </c>
      <c r="T114">
        <v>15</v>
      </c>
      <c r="U114" s="14">
        <v>95965.260000000009</v>
      </c>
      <c r="V114" s="14">
        <v>104</v>
      </c>
      <c r="W114" s="16">
        <v>3.1016815192399497E-4</v>
      </c>
      <c r="X114" s="16">
        <v>1.8834710923407922E-4</v>
      </c>
    </row>
    <row r="115" spans="1:24" x14ac:dyDescent="0.2">
      <c r="A115" t="s">
        <v>13</v>
      </c>
      <c r="B115" t="s">
        <v>21</v>
      </c>
      <c r="C115" t="s">
        <v>35</v>
      </c>
      <c r="D115" t="s">
        <v>199</v>
      </c>
      <c r="E115" t="s">
        <v>565</v>
      </c>
      <c r="F115" t="s">
        <v>565</v>
      </c>
      <c r="H115" t="s">
        <v>1669</v>
      </c>
      <c r="I115" t="s">
        <v>1670</v>
      </c>
      <c r="J115" t="s">
        <v>1674</v>
      </c>
      <c r="K115">
        <v>0</v>
      </c>
      <c r="L115">
        <v>1</v>
      </c>
      <c r="M115">
        <v>1</v>
      </c>
      <c r="N115">
        <v>5</v>
      </c>
      <c r="O115">
        <v>0</v>
      </c>
      <c r="P115">
        <v>5</v>
      </c>
      <c r="Q115">
        <f>N115-K115</f>
        <v>5</v>
      </c>
      <c r="R115">
        <f>O115-L115</f>
        <v>-1</v>
      </c>
      <c r="S115">
        <f>P115-M115</f>
        <v>4</v>
      </c>
      <c r="T115">
        <v>41</v>
      </c>
      <c r="U115" s="14">
        <v>133294.95000000001</v>
      </c>
      <c r="V115" s="14">
        <v>1021</v>
      </c>
      <c r="W115" s="16">
        <v>4.308209898279994E-4</v>
      </c>
      <c r="X115" s="16">
        <v>1.8490615243076432E-3</v>
      </c>
    </row>
    <row r="116" spans="1:24" x14ac:dyDescent="0.2">
      <c r="A116" t="s">
        <v>17</v>
      </c>
      <c r="B116" t="s">
        <v>24</v>
      </c>
      <c r="C116" t="s">
        <v>49</v>
      </c>
      <c r="D116" t="s">
        <v>152</v>
      </c>
      <c r="E116" t="s">
        <v>482</v>
      </c>
      <c r="F116" t="s">
        <v>1072</v>
      </c>
      <c r="H116" t="s">
        <v>1669</v>
      </c>
      <c r="I116" t="s">
        <v>1671</v>
      </c>
      <c r="J116" t="s">
        <v>1674</v>
      </c>
      <c r="K116">
        <v>5</v>
      </c>
      <c r="L116">
        <v>2</v>
      </c>
      <c r="M116">
        <v>7</v>
      </c>
      <c r="N116">
        <v>11</v>
      </c>
      <c r="O116">
        <v>0</v>
      </c>
      <c r="P116">
        <v>11</v>
      </c>
      <c r="Q116">
        <f>N116-K116</f>
        <v>6</v>
      </c>
      <c r="R116">
        <f>O116-L116</f>
        <v>-2</v>
      </c>
      <c r="S116">
        <f>P116-M116</f>
        <v>4</v>
      </c>
      <c r="T116">
        <v>397</v>
      </c>
      <c r="U116" s="14">
        <v>1592745.1800000002</v>
      </c>
      <c r="V116" s="14">
        <v>1791</v>
      </c>
      <c r="W116" s="16">
        <v>5.1478923619490092E-3</v>
      </c>
      <c r="X116" s="16">
        <v>3.2435545445984224E-3</v>
      </c>
    </row>
    <row r="117" spans="1:24" x14ac:dyDescent="0.2">
      <c r="A117" t="s">
        <v>17</v>
      </c>
      <c r="B117" t="s">
        <v>24</v>
      </c>
      <c r="C117" t="s">
        <v>49</v>
      </c>
      <c r="D117" t="s">
        <v>180</v>
      </c>
      <c r="E117" t="s">
        <v>494</v>
      </c>
      <c r="F117" t="s">
        <v>1098</v>
      </c>
      <c r="H117" t="s">
        <v>1669</v>
      </c>
      <c r="I117" t="s">
        <v>1671</v>
      </c>
      <c r="J117" t="s">
        <v>1674</v>
      </c>
      <c r="K117">
        <v>4</v>
      </c>
      <c r="L117">
        <v>7</v>
      </c>
      <c r="M117">
        <v>11</v>
      </c>
      <c r="N117">
        <v>10</v>
      </c>
      <c r="O117">
        <v>5</v>
      </c>
      <c r="P117">
        <v>15</v>
      </c>
      <c r="Q117">
        <f>N117-K117</f>
        <v>6</v>
      </c>
      <c r="R117">
        <f>O117-L117</f>
        <v>-2</v>
      </c>
      <c r="S117">
        <f>P117-M117</f>
        <v>4</v>
      </c>
      <c r="T117">
        <v>28</v>
      </c>
      <c r="U117" s="14">
        <v>13360.78</v>
      </c>
      <c r="V117" s="14">
        <v>229</v>
      </c>
      <c r="W117" s="16">
        <v>4.3183214851531412E-5</v>
      </c>
      <c r="X117" s="16">
        <v>4.1472584629427062E-4</v>
      </c>
    </row>
    <row r="118" spans="1:24" x14ac:dyDescent="0.2">
      <c r="A118" t="s">
        <v>17</v>
      </c>
      <c r="B118" t="s">
        <v>24</v>
      </c>
      <c r="C118" t="s">
        <v>49</v>
      </c>
      <c r="D118" t="s">
        <v>152</v>
      </c>
      <c r="E118" t="s">
        <v>486</v>
      </c>
      <c r="F118" t="s">
        <v>1140</v>
      </c>
      <c r="H118" t="s">
        <v>1669</v>
      </c>
      <c r="I118" t="s">
        <v>1670</v>
      </c>
      <c r="J118" t="s">
        <v>1674</v>
      </c>
      <c r="K118">
        <v>0</v>
      </c>
      <c r="L118">
        <v>1</v>
      </c>
      <c r="M118">
        <v>1</v>
      </c>
      <c r="N118">
        <v>2</v>
      </c>
      <c r="O118">
        <v>2</v>
      </c>
      <c r="P118">
        <v>4</v>
      </c>
      <c r="Q118">
        <f>N118-K118</f>
        <v>2</v>
      </c>
      <c r="R118">
        <f>O118-L118</f>
        <v>1</v>
      </c>
      <c r="S118">
        <f>P118-M118</f>
        <v>3</v>
      </c>
      <c r="T118">
        <v>4</v>
      </c>
      <c r="U118" s="14">
        <v>7180.31</v>
      </c>
      <c r="V118" s="14">
        <v>284</v>
      </c>
      <c r="W118" s="16">
        <v>2.3207392789238319E-5</v>
      </c>
      <c r="X118" s="16">
        <v>5.1433249060075484E-4</v>
      </c>
    </row>
    <row r="119" spans="1:24" x14ac:dyDescent="0.2">
      <c r="A119" t="s">
        <v>14</v>
      </c>
      <c r="B119" t="s">
        <v>19</v>
      </c>
      <c r="C119" t="s">
        <v>48</v>
      </c>
      <c r="D119" t="s">
        <v>131</v>
      </c>
      <c r="E119" t="s">
        <v>518</v>
      </c>
      <c r="F119" t="s">
        <v>1206</v>
      </c>
      <c r="H119" t="s">
        <v>1669</v>
      </c>
      <c r="I119" t="s">
        <v>1670</v>
      </c>
      <c r="J119" t="s">
        <v>1674</v>
      </c>
      <c r="K119">
        <v>0</v>
      </c>
      <c r="L119">
        <v>0</v>
      </c>
      <c r="M119">
        <v>0</v>
      </c>
      <c r="N119">
        <v>2</v>
      </c>
      <c r="O119">
        <v>1</v>
      </c>
      <c r="P119">
        <v>3</v>
      </c>
      <c r="Q119">
        <f>N119-K119</f>
        <v>2</v>
      </c>
      <c r="R119">
        <f>O119-L119</f>
        <v>1</v>
      </c>
      <c r="S119">
        <f>P119-M119</f>
        <v>3</v>
      </c>
      <c r="T119">
        <v>2</v>
      </c>
      <c r="U119" s="14">
        <v>13939</v>
      </c>
      <c r="V119" s="14">
        <v>34</v>
      </c>
      <c r="W119" s="16">
        <v>4.5052072694520557E-5</v>
      </c>
      <c r="X119" s="16">
        <v>6.1575016480372059E-5</v>
      </c>
    </row>
    <row r="120" spans="1:24" x14ac:dyDescent="0.2">
      <c r="A120" t="s">
        <v>14</v>
      </c>
      <c r="B120" t="s">
        <v>19</v>
      </c>
      <c r="C120" t="s">
        <v>48</v>
      </c>
      <c r="D120" t="s">
        <v>131</v>
      </c>
      <c r="E120" t="s">
        <v>518</v>
      </c>
      <c r="F120" t="s">
        <v>1298</v>
      </c>
      <c r="H120" t="s">
        <v>1669</v>
      </c>
      <c r="I120" t="s">
        <v>1670</v>
      </c>
      <c r="J120" t="s">
        <v>1674</v>
      </c>
      <c r="K120">
        <v>0</v>
      </c>
      <c r="L120">
        <v>0</v>
      </c>
      <c r="M120">
        <v>0</v>
      </c>
      <c r="N120">
        <v>2</v>
      </c>
      <c r="O120">
        <v>1</v>
      </c>
      <c r="P120">
        <v>3</v>
      </c>
      <c r="Q120">
        <f>N120-K120</f>
        <v>2</v>
      </c>
      <c r="R120">
        <f>O120-L120</f>
        <v>1</v>
      </c>
      <c r="S120">
        <f>P120-M120</f>
        <v>3</v>
      </c>
      <c r="T120">
        <v>4</v>
      </c>
      <c r="U120" s="14">
        <v>10762.05</v>
      </c>
      <c r="V120" s="14">
        <v>34</v>
      </c>
      <c r="W120" s="16">
        <v>3.4783891164507134E-5</v>
      </c>
      <c r="X120" s="16">
        <v>6.1575016480372059E-5</v>
      </c>
    </row>
    <row r="121" spans="1:24" x14ac:dyDescent="0.2">
      <c r="A121" t="s">
        <v>16</v>
      </c>
      <c r="B121" s="2" t="s">
        <v>22</v>
      </c>
      <c r="C121" s="2" t="s">
        <v>39</v>
      </c>
      <c r="D121" s="2" t="s">
        <v>167</v>
      </c>
      <c r="E121" s="2" t="s">
        <v>462</v>
      </c>
      <c r="F121" s="2" t="s">
        <v>1691</v>
      </c>
      <c r="G121" s="2"/>
      <c r="H121" t="s">
        <v>1669</v>
      </c>
      <c r="I121" s="3">
        <v>0</v>
      </c>
      <c r="J121" t="s">
        <v>1674</v>
      </c>
      <c r="K121">
        <v>1</v>
      </c>
      <c r="L121">
        <v>0</v>
      </c>
      <c r="M121">
        <v>1</v>
      </c>
      <c r="N121">
        <v>3</v>
      </c>
      <c r="O121">
        <v>1</v>
      </c>
      <c r="P121">
        <v>4</v>
      </c>
      <c r="Q121">
        <f>N121-K121</f>
        <v>2</v>
      </c>
      <c r="R121">
        <f>O121-L121</f>
        <v>1</v>
      </c>
      <c r="S121">
        <f>P121-M121</f>
        <v>3</v>
      </c>
      <c r="T121">
        <v>23</v>
      </c>
      <c r="U121" s="14">
        <v>149687.15</v>
      </c>
      <c r="V121" s="14">
        <v>152</v>
      </c>
      <c r="W121" s="16">
        <v>4.8380202046313241E-4</v>
      </c>
      <c r="X121" s="16">
        <v>2.7527654426519273E-4</v>
      </c>
    </row>
    <row r="122" spans="1:24" x14ac:dyDescent="0.2">
      <c r="A122" t="s">
        <v>13</v>
      </c>
      <c r="B122" t="s">
        <v>20</v>
      </c>
      <c r="C122" t="s">
        <v>33</v>
      </c>
      <c r="D122" t="s">
        <v>87</v>
      </c>
      <c r="E122" t="s">
        <v>296</v>
      </c>
      <c r="F122" t="s">
        <v>758</v>
      </c>
      <c r="H122" t="s">
        <v>1669</v>
      </c>
      <c r="I122" t="s">
        <v>1670</v>
      </c>
      <c r="J122" t="s">
        <v>1674</v>
      </c>
      <c r="K122">
        <v>2</v>
      </c>
      <c r="L122">
        <v>1</v>
      </c>
      <c r="M122">
        <v>3</v>
      </c>
      <c r="N122">
        <v>5</v>
      </c>
      <c r="O122">
        <v>1</v>
      </c>
      <c r="P122">
        <v>6</v>
      </c>
      <c r="Q122">
        <f>N122-K122</f>
        <v>3</v>
      </c>
      <c r="R122">
        <f>O122-L122</f>
        <v>0</v>
      </c>
      <c r="S122">
        <f>P122-M122</f>
        <v>3</v>
      </c>
      <c r="T122">
        <v>21</v>
      </c>
      <c r="U122" s="14">
        <v>253538.28000000003</v>
      </c>
      <c r="V122" s="14">
        <v>130</v>
      </c>
      <c r="W122" s="16">
        <v>8.1945799708757505E-4</v>
      </c>
      <c r="X122" s="16">
        <v>2.3543388654259905E-4</v>
      </c>
    </row>
    <row r="123" spans="1:24" x14ac:dyDescent="0.2">
      <c r="A123" t="s">
        <v>13</v>
      </c>
      <c r="B123" t="s">
        <v>20</v>
      </c>
      <c r="C123" t="s">
        <v>31</v>
      </c>
      <c r="D123" t="s">
        <v>93</v>
      </c>
      <c r="E123" t="s">
        <v>320</v>
      </c>
      <c r="F123" t="s">
        <v>830</v>
      </c>
      <c r="H123" t="s">
        <v>1669</v>
      </c>
      <c r="I123" t="s">
        <v>1670</v>
      </c>
      <c r="J123" t="s">
        <v>1674</v>
      </c>
      <c r="K123">
        <v>1</v>
      </c>
      <c r="L123">
        <v>1</v>
      </c>
      <c r="M123">
        <v>2</v>
      </c>
      <c r="N123">
        <v>4</v>
      </c>
      <c r="O123">
        <v>1</v>
      </c>
      <c r="P123">
        <v>5</v>
      </c>
      <c r="Q123">
        <f>N123-K123</f>
        <v>3</v>
      </c>
      <c r="R123">
        <f>O123-L123</f>
        <v>0</v>
      </c>
      <c r="S123">
        <f>P123-M123</f>
        <v>3</v>
      </c>
      <c r="T123">
        <v>45</v>
      </c>
      <c r="U123" s="14">
        <v>119586.57</v>
      </c>
      <c r="V123" s="14">
        <v>328</v>
      </c>
      <c r="W123" s="16">
        <v>3.8651430123598333E-4</v>
      </c>
      <c r="X123" s="16">
        <v>5.9401780604594219E-4</v>
      </c>
    </row>
    <row r="124" spans="1:24" x14ac:dyDescent="0.2">
      <c r="A124" t="s">
        <v>13</v>
      </c>
      <c r="B124" t="s">
        <v>20</v>
      </c>
      <c r="C124" t="s">
        <v>31</v>
      </c>
      <c r="D124" t="s">
        <v>94</v>
      </c>
      <c r="E124" t="s">
        <v>322</v>
      </c>
      <c r="F124" t="s">
        <v>831</v>
      </c>
      <c r="H124" t="s">
        <v>1669</v>
      </c>
      <c r="I124" t="s">
        <v>1670</v>
      </c>
      <c r="J124" t="s">
        <v>1674</v>
      </c>
      <c r="K124">
        <v>1</v>
      </c>
      <c r="L124">
        <v>0</v>
      </c>
      <c r="M124">
        <v>1</v>
      </c>
      <c r="N124">
        <v>4</v>
      </c>
      <c r="O124">
        <v>0</v>
      </c>
      <c r="P124">
        <v>4</v>
      </c>
      <c r="Q124">
        <f>N124-K124</f>
        <v>3</v>
      </c>
      <c r="R124">
        <f>O124-L124</f>
        <v>0</v>
      </c>
      <c r="S124">
        <f>P124-M124</f>
        <v>3</v>
      </c>
      <c r="T124">
        <v>0</v>
      </c>
      <c r="U124" s="14">
        <v>0</v>
      </c>
      <c r="V124" s="14">
        <v>0</v>
      </c>
      <c r="W124" s="16">
        <v>0</v>
      </c>
      <c r="X124" s="16">
        <v>0</v>
      </c>
    </row>
    <row r="125" spans="1:24" x14ac:dyDescent="0.2">
      <c r="A125" t="s">
        <v>13</v>
      </c>
      <c r="B125" t="s">
        <v>20</v>
      </c>
      <c r="C125" t="s">
        <v>38</v>
      </c>
      <c r="D125" t="s">
        <v>104</v>
      </c>
      <c r="E125" t="s">
        <v>340</v>
      </c>
      <c r="F125" t="s">
        <v>847</v>
      </c>
      <c r="H125" t="s">
        <v>1669</v>
      </c>
      <c r="I125" t="s">
        <v>1670</v>
      </c>
      <c r="J125" t="s">
        <v>1674</v>
      </c>
      <c r="K125">
        <v>3</v>
      </c>
      <c r="L125">
        <v>2</v>
      </c>
      <c r="M125">
        <v>5</v>
      </c>
      <c r="N125">
        <v>6</v>
      </c>
      <c r="O125">
        <v>2</v>
      </c>
      <c r="P125">
        <v>8</v>
      </c>
      <c r="Q125">
        <f>N125-K125</f>
        <v>3</v>
      </c>
      <c r="R125">
        <f>O125-L125</f>
        <v>0</v>
      </c>
      <c r="S125">
        <f>P125-M125</f>
        <v>3</v>
      </c>
      <c r="T125">
        <v>176</v>
      </c>
      <c r="U125" s="14">
        <v>320119.31999999995</v>
      </c>
      <c r="V125" s="14">
        <v>969</v>
      </c>
      <c r="W125" s="16">
        <v>1.0346537682445287E-3</v>
      </c>
      <c r="X125" s="16">
        <v>1.7548879696906038E-3</v>
      </c>
    </row>
    <row r="126" spans="1:24" x14ac:dyDescent="0.2">
      <c r="A126" t="s">
        <v>13</v>
      </c>
      <c r="B126" t="s">
        <v>20</v>
      </c>
      <c r="C126" t="s">
        <v>38</v>
      </c>
      <c r="D126" t="s">
        <v>104</v>
      </c>
      <c r="E126" t="s">
        <v>341</v>
      </c>
      <c r="F126" t="s">
        <v>848</v>
      </c>
      <c r="H126" t="s">
        <v>1669</v>
      </c>
      <c r="I126" t="s">
        <v>1670</v>
      </c>
      <c r="J126" t="s">
        <v>1674</v>
      </c>
      <c r="K126">
        <v>2</v>
      </c>
      <c r="L126">
        <v>1</v>
      </c>
      <c r="M126">
        <v>3</v>
      </c>
      <c r="N126">
        <v>5</v>
      </c>
      <c r="O126">
        <v>1</v>
      </c>
      <c r="P126">
        <v>6</v>
      </c>
      <c r="Q126">
        <f>N126-K126</f>
        <v>3</v>
      </c>
      <c r="R126">
        <f>O126-L126</f>
        <v>0</v>
      </c>
      <c r="S126">
        <f>P126-M126</f>
        <v>3</v>
      </c>
      <c r="T126">
        <v>67</v>
      </c>
      <c r="U126" s="14">
        <v>271234.34999999998</v>
      </c>
      <c r="V126" s="14">
        <v>362</v>
      </c>
      <c r="W126" s="16">
        <v>8.7665325012203389E-4</v>
      </c>
      <c r="X126" s="16">
        <v>6.5559282252631429E-4</v>
      </c>
    </row>
    <row r="127" spans="1:24" x14ac:dyDescent="0.2">
      <c r="A127" t="s">
        <v>13</v>
      </c>
      <c r="B127" t="s">
        <v>20</v>
      </c>
      <c r="C127" t="s">
        <v>38</v>
      </c>
      <c r="D127" t="s">
        <v>104</v>
      </c>
      <c r="E127" t="s">
        <v>341</v>
      </c>
      <c r="F127" t="s">
        <v>849</v>
      </c>
      <c r="H127" t="s">
        <v>1669</v>
      </c>
      <c r="I127" t="s">
        <v>1670</v>
      </c>
      <c r="J127" t="s">
        <v>1674</v>
      </c>
      <c r="K127">
        <v>3</v>
      </c>
      <c r="L127">
        <v>1</v>
      </c>
      <c r="M127">
        <v>4</v>
      </c>
      <c r="N127">
        <v>6</v>
      </c>
      <c r="O127">
        <v>1</v>
      </c>
      <c r="P127">
        <v>7</v>
      </c>
      <c r="Q127">
        <f>N127-K127</f>
        <v>3</v>
      </c>
      <c r="R127">
        <f>O127-L127</f>
        <v>0</v>
      </c>
      <c r="S127">
        <f>P127-M127</f>
        <v>3</v>
      </c>
      <c r="T127">
        <v>109</v>
      </c>
      <c r="U127" s="14">
        <v>631413.64999999979</v>
      </c>
      <c r="V127" s="14">
        <v>975</v>
      </c>
      <c r="W127" s="16">
        <v>2.0407843934365844E-3</v>
      </c>
      <c r="X127" s="16">
        <v>1.7657541490694929E-3</v>
      </c>
    </row>
    <row r="128" spans="1:24" x14ac:dyDescent="0.2">
      <c r="A128" t="s">
        <v>15</v>
      </c>
      <c r="B128" t="s">
        <v>24</v>
      </c>
      <c r="C128" t="s">
        <v>58</v>
      </c>
      <c r="D128" t="s">
        <v>148</v>
      </c>
      <c r="E128" t="s">
        <v>407</v>
      </c>
      <c r="F128" t="s">
        <v>941</v>
      </c>
      <c r="H128" t="s">
        <v>1669</v>
      </c>
      <c r="I128" t="s">
        <v>1670</v>
      </c>
      <c r="J128" t="s">
        <v>1674</v>
      </c>
      <c r="K128">
        <v>1</v>
      </c>
      <c r="L128">
        <v>1</v>
      </c>
      <c r="M128">
        <v>2</v>
      </c>
      <c r="N128">
        <v>4</v>
      </c>
      <c r="O128">
        <v>1</v>
      </c>
      <c r="P128">
        <v>5</v>
      </c>
      <c r="Q128">
        <f>N128-K128</f>
        <v>3</v>
      </c>
      <c r="R128">
        <f>O128-L128</f>
        <v>0</v>
      </c>
      <c r="S128">
        <f>P128-M128</f>
        <v>3</v>
      </c>
      <c r="T128">
        <v>19</v>
      </c>
      <c r="U128" s="14">
        <v>25928.57</v>
      </c>
      <c r="V128" s="14">
        <v>183</v>
      </c>
      <c r="W128" s="16">
        <v>8.3803416350166065E-5</v>
      </c>
      <c r="X128" s="16">
        <v>3.3141847105612021E-4</v>
      </c>
    </row>
    <row r="129" spans="1:24" x14ac:dyDescent="0.2">
      <c r="A129" t="s">
        <v>15</v>
      </c>
      <c r="B129" t="s">
        <v>24</v>
      </c>
      <c r="C129" t="s">
        <v>58</v>
      </c>
      <c r="D129" t="s">
        <v>150</v>
      </c>
      <c r="E129" t="s">
        <v>135</v>
      </c>
      <c r="F129" t="s">
        <v>963</v>
      </c>
      <c r="H129" t="s">
        <v>1669</v>
      </c>
      <c r="I129" t="s">
        <v>1670</v>
      </c>
      <c r="J129" t="s">
        <v>1674</v>
      </c>
      <c r="K129">
        <v>1</v>
      </c>
      <c r="L129">
        <v>1</v>
      </c>
      <c r="M129">
        <v>2</v>
      </c>
      <c r="N129">
        <v>4</v>
      </c>
      <c r="O129">
        <v>1</v>
      </c>
      <c r="P129">
        <v>5</v>
      </c>
      <c r="Q129">
        <f>N129-K129</f>
        <v>3</v>
      </c>
      <c r="R129">
        <f>O129-L129</f>
        <v>0</v>
      </c>
      <c r="S129">
        <f>P129-M129</f>
        <v>3</v>
      </c>
      <c r="T129">
        <v>40</v>
      </c>
      <c r="U129" s="14">
        <v>67437.22</v>
      </c>
      <c r="V129" s="14">
        <v>438</v>
      </c>
      <c r="W129" s="16">
        <v>2.1796302014178746E-4</v>
      </c>
      <c r="X129" s="16">
        <v>7.9323109465891063E-4</v>
      </c>
    </row>
    <row r="130" spans="1:24" x14ac:dyDescent="0.2">
      <c r="A130" t="s">
        <v>16</v>
      </c>
      <c r="B130" t="s">
        <v>22</v>
      </c>
      <c r="C130" t="s">
        <v>39</v>
      </c>
      <c r="D130" t="s">
        <v>165</v>
      </c>
      <c r="E130" t="s">
        <v>460</v>
      </c>
      <c r="F130" t="s">
        <v>1465</v>
      </c>
      <c r="H130" t="s">
        <v>1670</v>
      </c>
      <c r="I130" t="s">
        <v>1671</v>
      </c>
      <c r="J130" t="s">
        <v>1674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f>N130-K130</f>
        <v>0</v>
      </c>
      <c r="R130">
        <f>O130-L130</f>
        <v>0</v>
      </c>
      <c r="S130">
        <f>P130-M130</f>
        <v>0</v>
      </c>
      <c r="T130">
        <v>51</v>
      </c>
      <c r="U130" s="14">
        <v>488655.05</v>
      </c>
      <c r="V130" s="14">
        <v>520</v>
      </c>
      <c r="W130" s="16">
        <v>1.5793760553228049E-3</v>
      </c>
      <c r="X130" s="16">
        <v>9.417355461703962E-4</v>
      </c>
    </row>
    <row r="131" spans="1:24" x14ac:dyDescent="0.2">
      <c r="A131" t="s">
        <v>16</v>
      </c>
      <c r="B131" t="s">
        <v>22</v>
      </c>
      <c r="C131" t="s">
        <v>39</v>
      </c>
      <c r="D131" t="s">
        <v>164</v>
      </c>
      <c r="E131" t="s">
        <v>459</v>
      </c>
      <c r="F131" t="s">
        <v>1040</v>
      </c>
      <c r="H131" t="s">
        <v>1669</v>
      </c>
      <c r="I131" t="s">
        <v>1670</v>
      </c>
      <c r="J131" t="s">
        <v>1673</v>
      </c>
      <c r="K131">
        <v>3</v>
      </c>
      <c r="L131">
        <v>0</v>
      </c>
      <c r="M131">
        <v>3</v>
      </c>
      <c r="N131">
        <v>6</v>
      </c>
      <c r="O131">
        <v>0</v>
      </c>
      <c r="P131">
        <v>6</v>
      </c>
      <c r="Q131">
        <f>N131-K131</f>
        <v>3</v>
      </c>
      <c r="R131">
        <f>O131-L131</f>
        <v>0</v>
      </c>
      <c r="S131">
        <f>P131-M131</f>
        <v>3</v>
      </c>
      <c r="T131">
        <v>82</v>
      </c>
      <c r="U131" s="14">
        <v>271847.17000000004</v>
      </c>
      <c r="V131" s="14">
        <v>381</v>
      </c>
      <c r="W131" s="16">
        <v>8.7863393820501398E-4</v>
      </c>
      <c r="X131" s="16">
        <v>6.9000239055946335E-4</v>
      </c>
    </row>
    <row r="132" spans="1:24" x14ac:dyDescent="0.2">
      <c r="A132" t="s">
        <v>12</v>
      </c>
      <c r="B132" t="s">
        <v>19</v>
      </c>
      <c r="C132" t="s">
        <v>28</v>
      </c>
      <c r="D132" t="s">
        <v>71</v>
      </c>
      <c r="E132" t="s">
        <v>259</v>
      </c>
      <c r="F132" t="s">
        <v>1135</v>
      </c>
      <c r="H132" t="s">
        <v>1669</v>
      </c>
      <c r="I132" t="s">
        <v>1671</v>
      </c>
      <c r="J132" t="s">
        <v>1673</v>
      </c>
      <c r="K132">
        <v>0</v>
      </c>
      <c r="L132">
        <v>1</v>
      </c>
      <c r="M132">
        <v>1</v>
      </c>
      <c r="N132">
        <v>3</v>
      </c>
      <c r="O132">
        <v>1</v>
      </c>
      <c r="P132">
        <v>4</v>
      </c>
      <c r="Q132">
        <f>N132-K132</f>
        <v>3</v>
      </c>
      <c r="R132">
        <f>O132-L132</f>
        <v>0</v>
      </c>
      <c r="S132">
        <f>P132-M132</f>
        <v>3</v>
      </c>
      <c r="T132">
        <v>79</v>
      </c>
      <c r="U132" s="14">
        <v>362000.5</v>
      </c>
      <c r="V132" s="14">
        <v>1507</v>
      </c>
      <c r="W132" s="16">
        <v>1.1700174217270098E-3</v>
      </c>
      <c r="X132" s="16">
        <v>2.7292220539976673E-3</v>
      </c>
    </row>
    <row r="133" spans="1:24" x14ac:dyDescent="0.2">
      <c r="A133" t="s">
        <v>17</v>
      </c>
      <c r="B133" t="s">
        <v>23</v>
      </c>
      <c r="C133" t="s">
        <v>61</v>
      </c>
      <c r="D133" t="s">
        <v>187</v>
      </c>
      <c r="E133" t="s">
        <v>516</v>
      </c>
      <c r="F133" t="s">
        <v>1141</v>
      </c>
      <c r="H133" t="s">
        <v>1669</v>
      </c>
      <c r="I133" t="s">
        <v>1671</v>
      </c>
      <c r="J133" t="s">
        <v>1674</v>
      </c>
      <c r="K133">
        <v>0</v>
      </c>
      <c r="L133">
        <v>1</v>
      </c>
      <c r="M133">
        <v>1</v>
      </c>
      <c r="N133">
        <v>3</v>
      </c>
      <c r="O133">
        <v>1</v>
      </c>
      <c r="P133">
        <v>4</v>
      </c>
      <c r="Q133">
        <f>N133-K133</f>
        <v>3</v>
      </c>
      <c r="R133">
        <f>O133-L133</f>
        <v>0</v>
      </c>
      <c r="S133">
        <f>P133-M133</f>
        <v>3</v>
      </c>
      <c r="T133">
        <v>22</v>
      </c>
      <c r="U133" s="14">
        <v>6869.380000000001</v>
      </c>
      <c r="V133" s="14">
        <v>210</v>
      </c>
      <c r="W133" s="16">
        <v>2.2202439710616664E-5</v>
      </c>
      <c r="X133" s="16">
        <v>3.8031627826112151E-4</v>
      </c>
    </row>
    <row r="134" spans="1:24" x14ac:dyDescent="0.2">
      <c r="A134" t="s">
        <v>15</v>
      </c>
      <c r="B134" t="s">
        <v>24</v>
      </c>
      <c r="C134" t="s">
        <v>58</v>
      </c>
      <c r="D134" t="s">
        <v>169</v>
      </c>
      <c r="E134" t="s">
        <v>514</v>
      </c>
      <c r="F134" t="s">
        <v>1142</v>
      </c>
      <c r="H134" t="s">
        <v>1669</v>
      </c>
      <c r="I134" t="s">
        <v>1670</v>
      </c>
      <c r="J134" t="s">
        <v>1674</v>
      </c>
      <c r="K134">
        <v>0</v>
      </c>
      <c r="L134">
        <v>1</v>
      </c>
      <c r="M134">
        <v>1</v>
      </c>
      <c r="N134">
        <v>3</v>
      </c>
      <c r="O134">
        <v>1</v>
      </c>
      <c r="P134">
        <v>4</v>
      </c>
      <c r="Q134">
        <f>N134-K134</f>
        <v>3</v>
      </c>
      <c r="R134">
        <f>O134-L134</f>
        <v>0</v>
      </c>
      <c r="S134">
        <f>P134-M134</f>
        <v>3</v>
      </c>
      <c r="T134">
        <v>20</v>
      </c>
      <c r="U134" s="14">
        <v>45419.82</v>
      </c>
      <c r="V134" s="14">
        <v>201</v>
      </c>
      <c r="W134" s="16">
        <v>1.4680084887094044E-4</v>
      </c>
      <c r="X134" s="16">
        <v>3.6401700919278776E-4</v>
      </c>
    </row>
    <row r="135" spans="1:24" x14ac:dyDescent="0.2">
      <c r="A135" t="s">
        <v>12</v>
      </c>
      <c r="B135" t="s">
        <v>19</v>
      </c>
      <c r="C135" t="s">
        <v>28</v>
      </c>
      <c r="D135" t="s">
        <v>71</v>
      </c>
      <c r="E135" t="s">
        <v>260</v>
      </c>
      <c r="F135" t="s">
        <v>1164</v>
      </c>
      <c r="H135" t="s">
        <v>1669</v>
      </c>
      <c r="I135" t="s">
        <v>1671</v>
      </c>
      <c r="J135" t="s">
        <v>1674</v>
      </c>
      <c r="K135">
        <v>0</v>
      </c>
      <c r="L135">
        <v>1</v>
      </c>
      <c r="M135">
        <v>1</v>
      </c>
      <c r="N135">
        <v>3</v>
      </c>
      <c r="O135">
        <v>1</v>
      </c>
      <c r="P135">
        <v>4</v>
      </c>
      <c r="Q135">
        <f>N135-K135</f>
        <v>3</v>
      </c>
      <c r="R135">
        <f>O135-L135</f>
        <v>0</v>
      </c>
      <c r="S135">
        <f>P135-M135</f>
        <v>3</v>
      </c>
      <c r="T135">
        <v>14</v>
      </c>
      <c r="U135" s="14">
        <v>57339.619999999995</v>
      </c>
      <c r="V135" s="14">
        <v>123</v>
      </c>
      <c r="W135" s="16">
        <v>1.8532668975652374E-4</v>
      </c>
      <c r="X135" s="16">
        <v>2.2275667726722834E-4</v>
      </c>
    </row>
    <row r="136" spans="1:24" x14ac:dyDescent="0.2">
      <c r="A136" t="s">
        <v>12</v>
      </c>
      <c r="B136" t="s">
        <v>19</v>
      </c>
      <c r="C136" t="s">
        <v>28</v>
      </c>
      <c r="D136" t="s">
        <v>71</v>
      </c>
      <c r="E136" t="s">
        <v>257</v>
      </c>
      <c r="F136" t="s">
        <v>1167</v>
      </c>
      <c r="H136" t="s">
        <v>1669</v>
      </c>
      <c r="I136" t="s">
        <v>1671</v>
      </c>
      <c r="J136" t="s">
        <v>1674</v>
      </c>
      <c r="K136">
        <v>0</v>
      </c>
      <c r="L136">
        <v>1</v>
      </c>
      <c r="M136">
        <v>1</v>
      </c>
      <c r="N136">
        <v>3</v>
      </c>
      <c r="O136">
        <v>1</v>
      </c>
      <c r="P136">
        <v>4</v>
      </c>
      <c r="Q136">
        <f>N136-K136</f>
        <v>3</v>
      </c>
      <c r="R136">
        <f>O136-L136</f>
        <v>0</v>
      </c>
      <c r="S136">
        <f>P136-M136</f>
        <v>3</v>
      </c>
      <c r="T136">
        <v>98</v>
      </c>
      <c r="U136" s="14">
        <v>523906.85999999987</v>
      </c>
      <c r="V136" s="14">
        <v>744</v>
      </c>
      <c r="W136" s="16">
        <v>1.693313002502188E-3</v>
      </c>
      <c r="X136" s="16">
        <v>1.3474062429822591E-3</v>
      </c>
    </row>
    <row r="137" spans="1:24" x14ac:dyDescent="0.2">
      <c r="A137" t="s">
        <v>12</v>
      </c>
      <c r="B137" t="s">
        <v>19</v>
      </c>
      <c r="C137" t="s">
        <v>28</v>
      </c>
      <c r="D137" t="s">
        <v>71</v>
      </c>
      <c r="E137" t="s">
        <v>259</v>
      </c>
      <c r="F137" t="s">
        <v>1171</v>
      </c>
      <c r="H137" t="s">
        <v>1669</v>
      </c>
      <c r="I137" t="s">
        <v>1671</v>
      </c>
      <c r="J137" t="s">
        <v>1673</v>
      </c>
      <c r="K137">
        <v>0</v>
      </c>
      <c r="L137">
        <v>1</v>
      </c>
      <c r="M137">
        <v>1</v>
      </c>
      <c r="N137">
        <v>3</v>
      </c>
      <c r="O137">
        <v>1</v>
      </c>
      <c r="P137">
        <v>4</v>
      </c>
      <c r="Q137">
        <f>N137-K137</f>
        <v>3</v>
      </c>
      <c r="R137">
        <f>O137-L137</f>
        <v>0</v>
      </c>
      <c r="S137">
        <f>P137-M137</f>
        <v>3</v>
      </c>
      <c r="T137">
        <v>57</v>
      </c>
      <c r="U137" s="14">
        <v>253594.34</v>
      </c>
      <c r="V137" s="14">
        <v>429</v>
      </c>
      <c r="W137" s="16">
        <v>8.1963918793306282E-4</v>
      </c>
      <c r="X137" s="16">
        <v>7.7693182559057682E-4</v>
      </c>
    </row>
    <row r="138" spans="1:24" x14ac:dyDescent="0.2">
      <c r="A138" t="s">
        <v>12</v>
      </c>
      <c r="B138" t="s">
        <v>19</v>
      </c>
      <c r="C138" t="s">
        <v>28</v>
      </c>
      <c r="D138" t="s">
        <v>72</v>
      </c>
      <c r="E138" t="s">
        <v>551</v>
      </c>
      <c r="F138" t="s">
        <v>551</v>
      </c>
      <c r="H138" t="s">
        <v>1669</v>
      </c>
      <c r="I138" t="s">
        <v>1670</v>
      </c>
      <c r="J138" t="s">
        <v>1674</v>
      </c>
      <c r="K138">
        <v>0</v>
      </c>
      <c r="L138">
        <v>1</v>
      </c>
      <c r="M138">
        <v>1</v>
      </c>
      <c r="N138">
        <v>3</v>
      </c>
      <c r="O138">
        <v>1</v>
      </c>
      <c r="P138">
        <v>4</v>
      </c>
      <c r="Q138">
        <f>N138-K138</f>
        <v>3</v>
      </c>
      <c r="R138">
        <f>O138-L138</f>
        <v>0</v>
      </c>
      <c r="S138">
        <f>P138-M138</f>
        <v>3</v>
      </c>
      <c r="T138">
        <v>43</v>
      </c>
      <c r="U138" s="14">
        <v>192199.76000000004</v>
      </c>
      <c r="V138" s="14">
        <v>560</v>
      </c>
      <c r="W138" s="16">
        <v>6.2120651118368654E-4</v>
      </c>
      <c r="X138" s="16">
        <v>1.0141767420296574E-3</v>
      </c>
    </row>
    <row r="139" spans="1:24" x14ac:dyDescent="0.2">
      <c r="A139" t="s">
        <v>12</v>
      </c>
      <c r="B139" t="s">
        <v>19</v>
      </c>
      <c r="C139" t="s">
        <v>28</v>
      </c>
      <c r="D139" t="s">
        <v>71</v>
      </c>
      <c r="E139" t="s">
        <v>552</v>
      </c>
      <c r="F139" t="s">
        <v>552</v>
      </c>
      <c r="H139" t="s">
        <v>1669</v>
      </c>
      <c r="I139" t="s">
        <v>1671</v>
      </c>
      <c r="J139" t="s">
        <v>1674</v>
      </c>
      <c r="K139">
        <v>0</v>
      </c>
      <c r="L139">
        <v>2</v>
      </c>
      <c r="M139">
        <v>2</v>
      </c>
      <c r="N139">
        <v>3</v>
      </c>
      <c r="O139">
        <v>2</v>
      </c>
      <c r="P139">
        <v>5</v>
      </c>
      <c r="Q139">
        <f>N139-K139</f>
        <v>3</v>
      </c>
      <c r="R139">
        <f>O139-L139</f>
        <v>0</v>
      </c>
      <c r="S139">
        <f>P139-M139</f>
        <v>3</v>
      </c>
      <c r="T139">
        <v>119</v>
      </c>
      <c r="U139" s="14">
        <v>644011.75000000035</v>
      </c>
      <c r="V139" s="14">
        <v>1170</v>
      </c>
      <c r="W139" s="16">
        <v>2.0815025595182879E-3</v>
      </c>
      <c r="X139" s="16">
        <v>2.1189049788833915E-3</v>
      </c>
    </row>
    <row r="140" spans="1:24" x14ac:dyDescent="0.2">
      <c r="A140" t="s">
        <v>14</v>
      </c>
      <c r="B140" t="s">
        <v>19</v>
      </c>
      <c r="C140" t="s">
        <v>48</v>
      </c>
      <c r="D140" t="s">
        <v>132</v>
      </c>
      <c r="E140" t="s">
        <v>553</v>
      </c>
      <c r="F140" t="s">
        <v>1212</v>
      </c>
      <c r="H140" t="s">
        <v>1669</v>
      </c>
      <c r="I140" t="s">
        <v>1670</v>
      </c>
      <c r="J140" t="s">
        <v>1674</v>
      </c>
      <c r="K140">
        <v>0</v>
      </c>
      <c r="L140">
        <v>1</v>
      </c>
      <c r="M140">
        <v>1</v>
      </c>
      <c r="N140">
        <v>3</v>
      </c>
      <c r="O140">
        <v>1</v>
      </c>
      <c r="P140">
        <v>4</v>
      </c>
      <c r="Q140">
        <f>N140-K140</f>
        <v>3</v>
      </c>
      <c r="R140">
        <f>O140-L140</f>
        <v>0</v>
      </c>
      <c r="S140">
        <f>P140-M140</f>
        <v>3</v>
      </c>
      <c r="T140">
        <v>31</v>
      </c>
      <c r="U140" s="14">
        <v>44158.490000000005</v>
      </c>
      <c r="V140" s="14">
        <v>229</v>
      </c>
      <c r="W140" s="16">
        <v>1.4272411948922155E-4</v>
      </c>
      <c r="X140" s="16">
        <v>4.1472584629427062E-4</v>
      </c>
    </row>
    <row r="141" spans="1:24" x14ac:dyDescent="0.2">
      <c r="A141" t="s">
        <v>12</v>
      </c>
      <c r="B141" t="s">
        <v>19</v>
      </c>
      <c r="C141" t="s">
        <v>28</v>
      </c>
      <c r="D141" t="s">
        <v>71</v>
      </c>
      <c r="E141" t="s">
        <v>259</v>
      </c>
      <c r="F141" t="s">
        <v>1213</v>
      </c>
      <c r="H141" t="s">
        <v>1669</v>
      </c>
      <c r="I141" t="s">
        <v>1671</v>
      </c>
      <c r="J141" t="s">
        <v>1673</v>
      </c>
      <c r="K141">
        <v>0</v>
      </c>
      <c r="L141">
        <v>1</v>
      </c>
      <c r="M141">
        <v>1</v>
      </c>
      <c r="N141">
        <v>3</v>
      </c>
      <c r="O141">
        <v>1</v>
      </c>
      <c r="P141">
        <v>4</v>
      </c>
      <c r="Q141">
        <f>N141-K141</f>
        <v>3</v>
      </c>
      <c r="R141">
        <f>O141-L141</f>
        <v>0</v>
      </c>
      <c r="S141">
        <f>P141-M141</f>
        <v>3</v>
      </c>
      <c r="T141">
        <v>54</v>
      </c>
      <c r="U141" s="14">
        <v>270387.74999999988</v>
      </c>
      <c r="V141" s="14">
        <v>892</v>
      </c>
      <c r="W141" s="16">
        <v>8.7391696453890846E-4</v>
      </c>
      <c r="X141" s="16">
        <v>1.6154386676615257E-3</v>
      </c>
    </row>
    <row r="142" spans="1:24" x14ac:dyDescent="0.2">
      <c r="A142" t="s">
        <v>14</v>
      </c>
      <c r="B142" t="s">
        <v>19</v>
      </c>
      <c r="C142" t="s">
        <v>48</v>
      </c>
      <c r="D142" t="s">
        <v>132</v>
      </c>
      <c r="E142" t="s">
        <v>541</v>
      </c>
      <c r="F142" t="s">
        <v>1216</v>
      </c>
      <c r="H142" t="s">
        <v>1669</v>
      </c>
      <c r="I142" t="s">
        <v>1670</v>
      </c>
      <c r="J142" t="s">
        <v>1674</v>
      </c>
      <c r="K142">
        <v>0</v>
      </c>
      <c r="L142">
        <v>1</v>
      </c>
      <c r="M142">
        <v>1</v>
      </c>
      <c r="N142">
        <v>3</v>
      </c>
      <c r="O142">
        <v>1</v>
      </c>
      <c r="P142">
        <v>4</v>
      </c>
      <c r="Q142">
        <f>N142-K142</f>
        <v>3</v>
      </c>
      <c r="R142">
        <f>O142-L142</f>
        <v>0</v>
      </c>
      <c r="S142">
        <f>P142-M142</f>
        <v>3</v>
      </c>
      <c r="T142">
        <v>125</v>
      </c>
      <c r="U142" s="14">
        <v>68230.41</v>
      </c>
      <c r="V142" s="14">
        <v>658</v>
      </c>
      <c r="W142" s="16">
        <v>2.2052667991225643E-4</v>
      </c>
      <c r="X142" s="16">
        <v>1.1916576718848475E-3</v>
      </c>
    </row>
    <row r="143" spans="1:24" x14ac:dyDescent="0.2">
      <c r="A143" t="s">
        <v>17</v>
      </c>
      <c r="B143" t="s">
        <v>23</v>
      </c>
      <c r="C143" t="s">
        <v>61</v>
      </c>
      <c r="D143" t="s">
        <v>182</v>
      </c>
      <c r="E143" t="s">
        <v>563</v>
      </c>
      <c r="F143" t="s">
        <v>1233</v>
      </c>
      <c r="H143" t="s">
        <v>1669</v>
      </c>
      <c r="I143" t="s">
        <v>1671</v>
      </c>
      <c r="J143" t="s">
        <v>1674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3</v>
      </c>
      <c r="Q143">
        <f>N143-K143</f>
        <v>3</v>
      </c>
      <c r="R143">
        <f>O143-L143</f>
        <v>0</v>
      </c>
      <c r="S143">
        <f>P143-M143</f>
        <v>3</v>
      </c>
      <c r="T143">
        <v>8</v>
      </c>
      <c r="U143" s="14">
        <v>9051.08</v>
      </c>
      <c r="V143" s="14">
        <v>26</v>
      </c>
      <c r="W143" s="16">
        <v>2.9253885796966863E-5</v>
      </c>
      <c r="X143" s="16">
        <v>4.7086777308519806E-5</v>
      </c>
    </row>
    <row r="144" spans="1:24" x14ac:dyDescent="0.2">
      <c r="A144" t="s">
        <v>12</v>
      </c>
      <c r="B144" t="s">
        <v>18</v>
      </c>
      <c r="C144" t="s">
        <v>32</v>
      </c>
      <c r="D144" t="s">
        <v>83</v>
      </c>
      <c r="E144" t="s">
        <v>61</v>
      </c>
      <c r="F144" t="s">
        <v>1240</v>
      </c>
      <c r="H144" t="s">
        <v>1669</v>
      </c>
      <c r="I144" t="s">
        <v>1670</v>
      </c>
      <c r="J144" t="s">
        <v>1674</v>
      </c>
      <c r="K144">
        <v>0</v>
      </c>
      <c r="L144">
        <v>2</v>
      </c>
      <c r="M144">
        <v>2</v>
      </c>
      <c r="N144">
        <v>3</v>
      </c>
      <c r="O144">
        <v>2</v>
      </c>
      <c r="P144">
        <v>5</v>
      </c>
      <c r="Q144">
        <f>N144-K144</f>
        <v>3</v>
      </c>
      <c r="R144">
        <f>O144-L144</f>
        <v>0</v>
      </c>
      <c r="S144">
        <f>P144-M144</f>
        <v>3</v>
      </c>
      <c r="T144">
        <v>22</v>
      </c>
      <c r="U144" s="14">
        <v>101566.69</v>
      </c>
      <c r="V144" s="14">
        <v>167</v>
      </c>
      <c r="W144" s="16">
        <v>3.2827246583125292E-4</v>
      </c>
      <c r="X144" s="16">
        <v>3.0244199271241572E-4</v>
      </c>
    </row>
    <row r="145" spans="1:24" x14ac:dyDescent="0.2">
      <c r="A145" t="s">
        <v>12</v>
      </c>
      <c r="B145" t="s">
        <v>18</v>
      </c>
      <c r="C145" t="s">
        <v>32</v>
      </c>
      <c r="D145" t="s">
        <v>83</v>
      </c>
      <c r="E145" t="s">
        <v>61</v>
      </c>
      <c r="F145" t="s">
        <v>1244</v>
      </c>
      <c r="H145" t="s">
        <v>1669</v>
      </c>
      <c r="I145" t="s">
        <v>1670</v>
      </c>
      <c r="J145" t="s">
        <v>1674</v>
      </c>
      <c r="K145">
        <v>0</v>
      </c>
      <c r="L145">
        <v>2</v>
      </c>
      <c r="M145">
        <v>2</v>
      </c>
      <c r="N145">
        <v>3</v>
      </c>
      <c r="O145">
        <v>2</v>
      </c>
      <c r="P145">
        <v>5</v>
      </c>
      <c r="Q145">
        <f>N145-K145</f>
        <v>3</v>
      </c>
      <c r="R145">
        <f>O145-L145</f>
        <v>0</v>
      </c>
      <c r="S145">
        <f>P145-M145</f>
        <v>3</v>
      </c>
      <c r="T145">
        <v>1</v>
      </c>
      <c r="U145" s="14">
        <v>3093.5</v>
      </c>
      <c r="V145" s="14">
        <v>4</v>
      </c>
      <c r="W145" s="16">
        <v>9.9984637980127227E-6</v>
      </c>
      <c r="X145" s="16">
        <v>7.2441195859261247E-6</v>
      </c>
    </row>
    <row r="146" spans="1:24" x14ac:dyDescent="0.2">
      <c r="A146" t="s">
        <v>12</v>
      </c>
      <c r="B146" t="s">
        <v>18</v>
      </c>
      <c r="C146" t="s">
        <v>32</v>
      </c>
      <c r="D146" t="s">
        <v>83</v>
      </c>
      <c r="E146" t="s">
        <v>61</v>
      </c>
      <c r="F146" t="s">
        <v>1289</v>
      </c>
      <c r="H146" t="s">
        <v>1669</v>
      </c>
      <c r="I146" t="s">
        <v>1670</v>
      </c>
      <c r="J146" t="s">
        <v>1674</v>
      </c>
      <c r="K146">
        <v>0</v>
      </c>
      <c r="L146">
        <v>1</v>
      </c>
      <c r="M146">
        <v>1</v>
      </c>
      <c r="N146">
        <v>3</v>
      </c>
      <c r="O146">
        <v>1</v>
      </c>
      <c r="P146">
        <v>4</v>
      </c>
      <c r="Q146">
        <f>N146-K146</f>
        <v>3</v>
      </c>
      <c r="R146">
        <f>O146-L146</f>
        <v>0</v>
      </c>
      <c r="S146">
        <f>P146-M146</f>
        <v>3</v>
      </c>
      <c r="T146">
        <v>5</v>
      </c>
      <c r="U146" s="14">
        <v>491</v>
      </c>
      <c r="V146" s="14">
        <v>5</v>
      </c>
      <c r="W146" s="16">
        <v>1.5869551397524638E-6</v>
      </c>
      <c r="X146" s="16">
        <v>9.0551494824076554E-6</v>
      </c>
    </row>
    <row r="147" spans="1:24" x14ac:dyDescent="0.2">
      <c r="A147" t="s">
        <v>13</v>
      </c>
      <c r="B147" t="s">
        <v>21</v>
      </c>
      <c r="C147" t="s">
        <v>35</v>
      </c>
      <c r="D147" t="s">
        <v>86</v>
      </c>
      <c r="E147" t="s">
        <v>86</v>
      </c>
      <c r="F147" t="s">
        <v>1292</v>
      </c>
      <c r="H147" t="s">
        <v>1669</v>
      </c>
      <c r="I147" t="s">
        <v>1670</v>
      </c>
      <c r="J147" t="s">
        <v>1674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3</v>
      </c>
      <c r="Q147">
        <f>N147-K147</f>
        <v>3</v>
      </c>
      <c r="R147">
        <f>O147-L147</f>
        <v>0</v>
      </c>
      <c r="S147">
        <f>P147-M147</f>
        <v>3</v>
      </c>
      <c r="T147">
        <v>22</v>
      </c>
      <c r="U147" s="14">
        <v>128495.21000000002</v>
      </c>
      <c r="V147" s="14">
        <v>187</v>
      </c>
      <c r="W147" s="16">
        <v>4.1530780843802894E-4</v>
      </c>
      <c r="X147" s="16">
        <v>3.3866259064204633E-4</v>
      </c>
    </row>
    <row r="148" spans="1:24" x14ac:dyDescent="0.2">
      <c r="A148" t="s">
        <v>13</v>
      </c>
      <c r="B148" t="s">
        <v>20</v>
      </c>
      <c r="C148" t="s">
        <v>38</v>
      </c>
      <c r="D148" t="s">
        <v>104</v>
      </c>
      <c r="E148" t="s">
        <v>341</v>
      </c>
      <c r="F148" t="s">
        <v>1310</v>
      </c>
      <c r="H148" t="s">
        <v>1669</v>
      </c>
      <c r="I148" t="s">
        <v>1670</v>
      </c>
      <c r="J148" t="s">
        <v>1674</v>
      </c>
      <c r="K148">
        <v>0</v>
      </c>
      <c r="L148">
        <v>1</v>
      </c>
      <c r="M148">
        <v>1</v>
      </c>
      <c r="N148">
        <v>3</v>
      </c>
      <c r="O148">
        <v>1</v>
      </c>
      <c r="P148">
        <v>4</v>
      </c>
      <c r="Q148">
        <f>N148-K148</f>
        <v>3</v>
      </c>
      <c r="R148">
        <f>O148-L148</f>
        <v>0</v>
      </c>
      <c r="S148">
        <f>P148-M148</f>
        <v>3</v>
      </c>
      <c r="T148">
        <v>0</v>
      </c>
      <c r="U148" s="14">
        <v>0</v>
      </c>
      <c r="V148" s="14">
        <v>0</v>
      </c>
      <c r="W148" s="16">
        <v>0</v>
      </c>
      <c r="X148" s="16">
        <v>0</v>
      </c>
    </row>
    <row r="149" spans="1:24" x14ac:dyDescent="0.2">
      <c r="A149" t="s">
        <v>17</v>
      </c>
      <c r="B149" t="s">
        <v>24</v>
      </c>
      <c r="C149" t="s">
        <v>49</v>
      </c>
      <c r="D149" t="s">
        <v>152</v>
      </c>
      <c r="E149" t="s">
        <v>487</v>
      </c>
      <c r="F149" t="s">
        <v>1346</v>
      </c>
      <c r="G149" t="s">
        <v>1719</v>
      </c>
      <c r="H149" t="s">
        <v>1669</v>
      </c>
      <c r="I149" t="s">
        <v>1672</v>
      </c>
      <c r="J149" t="s">
        <v>1674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f>N149-K149</f>
        <v>0</v>
      </c>
      <c r="R149">
        <f>O149-L149</f>
        <v>0</v>
      </c>
      <c r="S149">
        <f>P149-M149</f>
        <v>0</v>
      </c>
      <c r="T149">
        <v>5</v>
      </c>
      <c r="U149" s="14">
        <v>876.43000000000006</v>
      </c>
      <c r="V149" s="14">
        <v>6</v>
      </c>
      <c r="W149" s="16">
        <v>2.8326987640188433E-6</v>
      </c>
      <c r="X149" s="16">
        <v>1.0866179378889186E-5</v>
      </c>
    </row>
    <row r="150" spans="1:24" x14ac:dyDescent="0.2">
      <c r="A150" t="s">
        <v>16</v>
      </c>
      <c r="B150" t="s">
        <v>22</v>
      </c>
      <c r="C150" t="s">
        <v>39</v>
      </c>
      <c r="D150" t="s">
        <v>162</v>
      </c>
      <c r="E150" t="s">
        <v>456</v>
      </c>
      <c r="F150" t="s">
        <v>1034</v>
      </c>
      <c r="H150" t="s">
        <v>1670</v>
      </c>
      <c r="I150" t="s">
        <v>1670</v>
      </c>
      <c r="J150" t="s">
        <v>1674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f>N150-K150</f>
        <v>-1</v>
      </c>
      <c r="R150">
        <f>O150-L150</f>
        <v>0</v>
      </c>
      <c r="S150">
        <f>P150-M150</f>
        <v>-1</v>
      </c>
      <c r="T150">
        <v>103</v>
      </c>
      <c r="U150" s="14">
        <v>453765.90999999992</v>
      </c>
      <c r="V150" s="14">
        <v>906</v>
      </c>
      <c r="W150" s="16">
        <v>1.4666112894479711E-3</v>
      </c>
      <c r="X150" s="16">
        <v>1.6407930862122671E-3</v>
      </c>
    </row>
    <row r="151" spans="1:24" x14ac:dyDescent="0.2">
      <c r="A151" t="s">
        <v>16</v>
      </c>
      <c r="B151" t="s">
        <v>22</v>
      </c>
      <c r="C151" t="s">
        <v>39</v>
      </c>
      <c r="D151" t="s">
        <v>163</v>
      </c>
      <c r="E151" t="s">
        <v>457</v>
      </c>
      <c r="F151" t="s">
        <v>1508</v>
      </c>
      <c r="H151" t="s">
        <v>1670</v>
      </c>
      <c r="I151" t="s">
        <v>1670</v>
      </c>
      <c r="J151" t="s">
        <v>1674</v>
      </c>
      <c r="K151">
        <v>0</v>
      </c>
      <c r="L151">
        <v>0</v>
      </c>
      <c r="M151">
        <v>0</v>
      </c>
      <c r="N151">
        <v>5</v>
      </c>
      <c r="O151">
        <v>0</v>
      </c>
      <c r="P151">
        <v>5</v>
      </c>
      <c r="Q151">
        <f>N151-K151</f>
        <v>5</v>
      </c>
      <c r="R151">
        <f>O151-L151</f>
        <v>0</v>
      </c>
      <c r="S151">
        <f>P151-M151</f>
        <v>5</v>
      </c>
      <c r="T151">
        <v>66</v>
      </c>
      <c r="U151" s="14">
        <v>448646.96</v>
      </c>
      <c r="V151" s="14">
        <v>1176</v>
      </c>
      <c r="W151" s="16">
        <v>1.4500663932918902E-3</v>
      </c>
      <c r="X151" s="16">
        <v>2.1297711582622808E-3</v>
      </c>
    </row>
    <row r="152" spans="1:24" x14ac:dyDescent="0.2">
      <c r="A152" t="s">
        <v>12</v>
      </c>
      <c r="B152" s="35" t="s">
        <v>19</v>
      </c>
      <c r="C152" t="s">
        <v>27</v>
      </c>
      <c r="D152" t="s">
        <v>68</v>
      </c>
      <c r="E152" t="s">
        <v>253</v>
      </c>
      <c r="F152" t="s">
        <v>701</v>
      </c>
      <c r="H152" t="s">
        <v>1670</v>
      </c>
      <c r="I152" t="s">
        <v>1671</v>
      </c>
      <c r="J152" t="s">
        <v>1674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1</v>
      </c>
      <c r="Q152">
        <f>N152-K152</f>
        <v>0</v>
      </c>
      <c r="R152">
        <f>O152-L152</f>
        <v>0</v>
      </c>
      <c r="S152">
        <f>P152-M152</f>
        <v>0</v>
      </c>
      <c r="T152">
        <v>30</v>
      </c>
      <c r="U152" s="14">
        <v>444603.21000000008</v>
      </c>
      <c r="V152" s="14">
        <v>616</v>
      </c>
      <c r="W152" s="16">
        <v>1.4369966380039596E-3</v>
      </c>
      <c r="X152" s="16">
        <v>1.1155944162326232E-3</v>
      </c>
    </row>
    <row r="153" spans="1:24" x14ac:dyDescent="0.2">
      <c r="A153" t="s">
        <v>17</v>
      </c>
      <c r="B153" t="s">
        <v>24</v>
      </c>
      <c r="C153" t="s">
        <v>49</v>
      </c>
      <c r="D153" t="s">
        <v>152</v>
      </c>
      <c r="E153" t="s">
        <v>487</v>
      </c>
      <c r="F153" t="s">
        <v>1422</v>
      </c>
      <c r="G153" t="s">
        <v>1719</v>
      </c>
      <c r="H153" t="s">
        <v>1669</v>
      </c>
      <c r="I153" t="s">
        <v>1672</v>
      </c>
      <c r="J153" t="s">
        <v>1674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f>N153-K153</f>
        <v>0</v>
      </c>
      <c r="R153">
        <f>O153-L153</f>
        <v>0</v>
      </c>
      <c r="S153">
        <f>P153-M153</f>
        <v>0</v>
      </c>
      <c r="T153">
        <v>2</v>
      </c>
      <c r="U153" s="14">
        <v>14812</v>
      </c>
      <c r="V153" s="14">
        <v>11</v>
      </c>
      <c r="W153" s="16">
        <v>4.7873685397176162E-5</v>
      </c>
      <c r="X153" s="16">
        <v>1.9921328861296842E-5</v>
      </c>
    </row>
    <row r="154" spans="1:24" x14ac:dyDescent="0.2">
      <c r="A154" t="s">
        <v>16</v>
      </c>
      <c r="B154" t="s">
        <v>22</v>
      </c>
      <c r="C154" t="s">
        <v>39</v>
      </c>
      <c r="D154" t="s">
        <v>157</v>
      </c>
      <c r="E154" t="s">
        <v>441</v>
      </c>
      <c r="F154" t="s">
        <v>1009</v>
      </c>
      <c r="H154" t="s">
        <v>1670</v>
      </c>
      <c r="I154" t="s">
        <v>1670</v>
      </c>
      <c r="J154" t="s">
        <v>1674</v>
      </c>
      <c r="K154">
        <v>36</v>
      </c>
      <c r="L154">
        <v>0</v>
      </c>
      <c r="M154">
        <v>36</v>
      </c>
      <c r="N154">
        <v>5</v>
      </c>
      <c r="O154">
        <v>0</v>
      </c>
      <c r="P154">
        <v>5</v>
      </c>
      <c r="Q154">
        <f>N154-K154</f>
        <v>-31</v>
      </c>
      <c r="R154">
        <f>O154-L154</f>
        <v>0</v>
      </c>
      <c r="S154">
        <f>P154-M154</f>
        <v>-31</v>
      </c>
      <c r="T154">
        <v>86</v>
      </c>
      <c r="U154" s="14">
        <v>440033.62</v>
      </c>
      <c r="V154" s="14">
        <v>362</v>
      </c>
      <c r="W154" s="16">
        <v>1.4222273216351986E-3</v>
      </c>
      <c r="X154" s="16">
        <v>6.5559282252631429E-4</v>
      </c>
    </row>
    <row r="155" spans="1:24" x14ac:dyDescent="0.2">
      <c r="A155" t="s">
        <v>13</v>
      </c>
      <c r="B155" t="s">
        <v>22</v>
      </c>
      <c r="C155" t="s">
        <v>37</v>
      </c>
      <c r="D155" t="s">
        <v>97</v>
      </c>
      <c r="E155" t="s">
        <v>327</v>
      </c>
      <c r="F155" t="s">
        <v>327</v>
      </c>
      <c r="H155" t="s">
        <v>1670</v>
      </c>
      <c r="I155" t="s">
        <v>1671</v>
      </c>
      <c r="J155" t="s">
        <v>1674</v>
      </c>
      <c r="K155">
        <v>2</v>
      </c>
      <c r="L155">
        <v>0</v>
      </c>
      <c r="M155">
        <v>2</v>
      </c>
      <c r="N155">
        <v>10</v>
      </c>
      <c r="O155">
        <v>0</v>
      </c>
      <c r="P155">
        <v>10</v>
      </c>
      <c r="Q155">
        <f>N155-K155</f>
        <v>8</v>
      </c>
      <c r="R155">
        <f>O155-L155</f>
        <v>0</v>
      </c>
      <c r="S155">
        <f>P155-M155</f>
        <v>8</v>
      </c>
      <c r="T155">
        <v>259</v>
      </c>
      <c r="U155" s="14">
        <v>412065.08999999997</v>
      </c>
      <c r="V155" s="14">
        <v>870</v>
      </c>
      <c r="W155" s="16">
        <v>1.331830575332101E-3</v>
      </c>
      <c r="X155" s="16">
        <v>1.5755960099389321E-3</v>
      </c>
    </row>
    <row r="156" spans="1:24" x14ac:dyDescent="0.2">
      <c r="A156" t="s">
        <v>16</v>
      </c>
      <c r="B156" t="s">
        <v>22</v>
      </c>
      <c r="C156" t="s">
        <v>39</v>
      </c>
      <c r="D156" t="s">
        <v>159</v>
      </c>
      <c r="E156" t="s">
        <v>448</v>
      </c>
      <c r="F156" t="s">
        <v>1498</v>
      </c>
      <c r="H156" t="s">
        <v>1670</v>
      </c>
      <c r="I156" t="s">
        <v>1671</v>
      </c>
      <c r="J156" t="s">
        <v>1674</v>
      </c>
      <c r="K156">
        <v>0</v>
      </c>
      <c r="L156">
        <v>0</v>
      </c>
      <c r="M156">
        <v>0</v>
      </c>
      <c r="N156">
        <v>3</v>
      </c>
      <c r="O156">
        <v>0</v>
      </c>
      <c r="P156">
        <v>3</v>
      </c>
      <c r="Q156">
        <f>N156-K156</f>
        <v>3</v>
      </c>
      <c r="R156">
        <f>O156-L156</f>
        <v>0</v>
      </c>
      <c r="S156">
        <f>P156-M156</f>
        <v>3</v>
      </c>
      <c r="T156">
        <v>82</v>
      </c>
      <c r="U156" s="14">
        <v>399198.31999999995</v>
      </c>
      <c r="V156" s="14">
        <v>367</v>
      </c>
      <c r="W156" s="16">
        <v>1.2902440442047836E-3</v>
      </c>
      <c r="X156" s="16">
        <v>6.6464797200872197E-4</v>
      </c>
    </row>
    <row r="157" spans="1:24" x14ac:dyDescent="0.2">
      <c r="A157" t="s">
        <v>13</v>
      </c>
      <c r="B157" t="s">
        <v>22</v>
      </c>
      <c r="C157" t="s">
        <v>37</v>
      </c>
      <c r="D157" t="s">
        <v>97</v>
      </c>
      <c r="E157" t="s">
        <v>329</v>
      </c>
      <c r="F157" t="s">
        <v>329</v>
      </c>
      <c r="H157" t="s">
        <v>1670</v>
      </c>
      <c r="I157" t="s">
        <v>1671</v>
      </c>
      <c r="J157" t="s">
        <v>1674</v>
      </c>
      <c r="K157">
        <v>13</v>
      </c>
      <c r="L157">
        <v>0</v>
      </c>
      <c r="M157">
        <v>13</v>
      </c>
      <c r="N157">
        <v>15</v>
      </c>
      <c r="O157">
        <v>0</v>
      </c>
      <c r="P157">
        <v>15</v>
      </c>
      <c r="Q157">
        <f>N157-K157</f>
        <v>2</v>
      </c>
      <c r="R157">
        <f>O157-L157</f>
        <v>0</v>
      </c>
      <c r="S157">
        <f>P157-M157</f>
        <v>2</v>
      </c>
      <c r="T157">
        <v>64</v>
      </c>
      <c r="U157" s="14">
        <v>375956.71</v>
      </c>
      <c r="V157" s="14">
        <v>155</v>
      </c>
      <c r="W157" s="16">
        <v>1.2151251186536182E-3</v>
      </c>
      <c r="X157" s="16">
        <v>2.8070963395463735E-4</v>
      </c>
    </row>
    <row r="158" spans="1:24" x14ac:dyDescent="0.2">
      <c r="A158" t="s">
        <v>14</v>
      </c>
      <c r="B158" s="35" t="s">
        <v>19</v>
      </c>
      <c r="C158" t="s">
        <v>48</v>
      </c>
      <c r="D158" t="s">
        <v>130</v>
      </c>
      <c r="E158" t="s">
        <v>594</v>
      </c>
      <c r="F158" t="s">
        <v>1347</v>
      </c>
      <c r="H158" t="s">
        <v>1670</v>
      </c>
      <c r="I158" t="s">
        <v>1670</v>
      </c>
      <c r="J158" t="s">
        <v>1674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f>N158-K158</f>
        <v>0</v>
      </c>
      <c r="R158">
        <f>O158-L158</f>
        <v>0</v>
      </c>
      <c r="S158">
        <f>P158-M158</f>
        <v>0</v>
      </c>
      <c r="T158">
        <v>10</v>
      </c>
      <c r="U158" s="14">
        <v>354804.76</v>
      </c>
      <c r="V158" s="14">
        <v>288</v>
      </c>
      <c r="W158" s="16">
        <v>1.1467601578220761E-3</v>
      </c>
      <c r="X158" s="16">
        <v>5.2157661018668096E-4</v>
      </c>
    </row>
    <row r="159" spans="1:24" x14ac:dyDescent="0.2">
      <c r="A159" t="s">
        <v>14</v>
      </c>
      <c r="B159" s="35" t="s">
        <v>19</v>
      </c>
      <c r="C159" t="s">
        <v>27</v>
      </c>
      <c r="D159" t="s">
        <v>105</v>
      </c>
      <c r="E159" t="s">
        <v>378</v>
      </c>
      <c r="F159" t="s">
        <v>378</v>
      </c>
      <c r="H159" t="s">
        <v>1670</v>
      </c>
      <c r="I159" t="s">
        <v>1670</v>
      </c>
      <c r="J159" t="s">
        <v>1674</v>
      </c>
      <c r="K159">
        <v>3</v>
      </c>
      <c r="L159">
        <v>0</v>
      </c>
      <c r="M159">
        <v>3</v>
      </c>
      <c r="N159">
        <v>3</v>
      </c>
      <c r="O159">
        <v>0</v>
      </c>
      <c r="P159">
        <v>3</v>
      </c>
      <c r="Q159">
        <f>N159-K159</f>
        <v>0</v>
      </c>
      <c r="R159">
        <f>O159-L159</f>
        <v>0</v>
      </c>
      <c r="S159">
        <f>P159-M159</f>
        <v>0</v>
      </c>
      <c r="T159">
        <v>57</v>
      </c>
      <c r="U159" s="14">
        <v>347908.14</v>
      </c>
      <c r="V159" s="14">
        <v>858</v>
      </c>
      <c r="W159" s="16">
        <v>1.1244696760381258E-3</v>
      </c>
      <c r="X159" s="16">
        <v>1.5538636511811536E-3</v>
      </c>
    </row>
    <row r="160" spans="1:24" x14ac:dyDescent="0.2">
      <c r="A160" t="s">
        <v>14</v>
      </c>
      <c r="B160" s="35" t="s">
        <v>19</v>
      </c>
      <c r="C160" t="s">
        <v>42</v>
      </c>
      <c r="D160" t="s">
        <v>109</v>
      </c>
      <c r="E160" t="s">
        <v>348</v>
      </c>
      <c r="F160" t="s">
        <v>855</v>
      </c>
      <c r="H160" t="s">
        <v>1670</v>
      </c>
      <c r="I160" t="s">
        <v>1670</v>
      </c>
      <c r="J160" t="s">
        <v>1674</v>
      </c>
      <c r="K160">
        <v>11</v>
      </c>
      <c r="L160">
        <v>0</v>
      </c>
      <c r="M160">
        <v>11</v>
      </c>
      <c r="N160">
        <v>11</v>
      </c>
      <c r="O160">
        <v>0</v>
      </c>
      <c r="P160">
        <v>11</v>
      </c>
      <c r="Q160">
        <f>N160-K160</f>
        <v>0</v>
      </c>
      <c r="R160">
        <f>O160-L160</f>
        <v>0</v>
      </c>
      <c r="S160">
        <f>P160-M160</f>
        <v>0</v>
      </c>
      <c r="T160">
        <v>16</v>
      </c>
      <c r="U160" s="14">
        <v>341041.15000000008</v>
      </c>
      <c r="V160" s="14">
        <v>767</v>
      </c>
      <c r="W160" s="16">
        <v>1.1022749610174972E-3</v>
      </c>
      <c r="X160" s="16">
        <v>1.3890599306013343E-3</v>
      </c>
    </row>
    <row r="161" spans="1:24" x14ac:dyDescent="0.2">
      <c r="A161" t="s">
        <v>17</v>
      </c>
      <c r="B161" t="s">
        <v>24</v>
      </c>
      <c r="C161" t="s">
        <v>49</v>
      </c>
      <c r="D161" t="s">
        <v>178</v>
      </c>
      <c r="E161" t="s">
        <v>575</v>
      </c>
      <c r="F161" t="s">
        <v>1568</v>
      </c>
      <c r="H161" t="s">
        <v>1669</v>
      </c>
      <c r="I161" t="s">
        <v>1671</v>
      </c>
      <c r="J161" t="s">
        <v>1674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3</v>
      </c>
      <c r="Q161">
        <f>N161-K161</f>
        <v>3</v>
      </c>
      <c r="R161">
        <f>O161-L161</f>
        <v>0</v>
      </c>
      <c r="S161">
        <f>P161-M161</f>
        <v>3</v>
      </c>
      <c r="T161">
        <v>61</v>
      </c>
      <c r="U161" s="14">
        <v>46642.049999999988</v>
      </c>
      <c r="V161" s="14">
        <v>382</v>
      </c>
      <c r="W161" s="16">
        <v>1.5075120361729408E-4</v>
      </c>
      <c r="X161" s="16">
        <v>6.9181342045594491E-4</v>
      </c>
    </row>
    <row r="162" spans="1:24" x14ac:dyDescent="0.2">
      <c r="A162" t="s">
        <v>16</v>
      </c>
      <c r="B162" t="s">
        <v>22</v>
      </c>
      <c r="C162" t="s">
        <v>39</v>
      </c>
      <c r="D162" t="s">
        <v>163</v>
      </c>
      <c r="E162" t="s">
        <v>457</v>
      </c>
      <c r="F162" t="s">
        <v>1529</v>
      </c>
      <c r="H162" t="s">
        <v>1670</v>
      </c>
      <c r="I162" t="s">
        <v>1670</v>
      </c>
      <c r="J162" t="s">
        <v>1674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2</v>
      </c>
      <c r="Q162">
        <f>N162-K162</f>
        <v>2</v>
      </c>
      <c r="R162">
        <f>O162-L162</f>
        <v>0</v>
      </c>
      <c r="S162">
        <f>P162-M162</f>
        <v>2</v>
      </c>
      <c r="T162">
        <v>44</v>
      </c>
      <c r="U162" s="14">
        <v>333973.8</v>
      </c>
      <c r="V162" s="14">
        <v>338</v>
      </c>
      <c r="W162" s="16">
        <v>1.0794326648730374E-3</v>
      </c>
      <c r="X162" s="16">
        <v>6.1212810501075755E-4</v>
      </c>
    </row>
    <row r="163" spans="1:24" x14ac:dyDescent="0.2">
      <c r="A163" t="s">
        <v>14</v>
      </c>
      <c r="B163" s="35" t="s">
        <v>19</v>
      </c>
      <c r="C163" t="s">
        <v>53</v>
      </c>
      <c r="D163" t="s">
        <v>142</v>
      </c>
      <c r="E163" t="s">
        <v>394</v>
      </c>
      <c r="F163" t="s">
        <v>915</v>
      </c>
      <c r="H163" t="s">
        <v>1670</v>
      </c>
      <c r="I163" t="s">
        <v>1670</v>
      </c>
      <c r="J163" t="s">
        <v>1674</v>
      </c>
      <c r="K163">
        <v>2</v>
      </c>
      <c r="L163">
        <v>0</v>
      </c>
      <c r="M163">
        <v>2</v>
      </c>
      <c r="N163">
        <v>2</v>
      </c>
      <c r="O163">
        <v>0</v>
      </c>
      <c r="P163">
        <v>2</v>
      </c>
      <c r="Q163">
        <f>N163-K163</f>
        <v>0</v>
      </c>
      <c r="R163">
        <f>O163-L163</f>
        <v>0</v>
      </c>
      <c r="S163">
        <f>P163-M163</f>
        <v>0</v>
      </c>
      <c r="T163">
        <v>3</v>
      </c>
      <c r="U163" s="14">
        <v>330811.59999999998</v>
      </c>
      <c r="V163" s="14">
        <v>571</v>
      </c>
      <c r="W163" s="16">
        <v>1.0692121566389739E-3</v>
      </c>
      <c r="X163" s="16">
        <v>1.0340980708909544E-3</v>
      </c>
    </row>
    <row r="164" spans="1:24" x14ac:dyDescent="0.2">
      <c r="A164" t="s">
        <v>12</v>
      </c>
      <c r="B164" t="s">
        <v>18</v>
      </c>
      <c r="C164" t="s">
        <v>32</v>
      </c>
      <c r="D164" t="s">
        <v>83</v>
      </c>
      <c r="E164" t="s">
        <v>286</v>
      </c>
      <c r="F164" t="s">
        <v>740</v>
      </c>
      <c r="H164" t="s">
        <v>1669</v>
      </c>
      <c r="I164" t="s">
        <v>1671</v>
      </c>
      <c r="J164" t="s">
        <v>1674</v>
      </c>
      <c r="K164">
        <v>2</v>
      </c>
      <c r="L164">
        <v>1</v>
      </c>
      <c r="M164">
        <v>3</v>
      </c>
      <c r="N164">
        <v>6</v>
      </c>
      <c r="O164">
        <v>0</v>
      </c>
      <c r="P164">
        <v>6</v>
      </c>
      <c r="Q164">
        <f>N164-K164</f>
        <v>4</v>
      </c>
      <c r="R164">
        <f>O164-L164</f>
        <v>-1</v>
      </c>
      <c r="S164">
        <f>P164-M164</f>
        <v>3</v>
      </c>
      <c r="T164">
        <v>26</v>
      </c>
      <c r="U164" s="14">
        <v>21108.219999999998</v>
      </c>
      <c r="V164" s="14">
        <v>50</v>
      </c>
      <c r="W164" s="16">
        <v>6.8223621629380336E-5</v>
      </c>
      <c r="X164" s="16">
        <v>9.0551494824076551E-5</v>
      </c>
    </row>
    <row r="165" spans="1:24" x14ac:dyDescent="0.2">
      <c r="A165" t="s">
        <v>17</v>
      </c>
      <c r="B165" t="s">
        <v>23</v>
      </c>
      <c r="C165" t="s">
        <v>61</v>
      </c>
      <c r="D165" t="s">
        <v>187</v>
      </c>
      <c r="E165" t="s">
        <v>506</v>
      </c>
      <c r="F165" t="s">
        <v>1118</v>
      </c>
      <c r="H165" t="s">
        <v>1669</v>
      </c>
      <c r="I165" t="s">
        <v>1671</v>
      </c>
      <c r="J165" t="s">
        <v>1674</v>
      </c>
      <c r="K165">
        <v>1</v>
      </c>
      <c r="L165">
        <v>1</v>
      </c>
      <c r="M165">
        <v>2</v>
      </c>
      <c r="N165">
        <v>5</v>
      </c>
      <c r="O165">
        <v>0</v>
      </c>
      <c r="P165">
        <v>5</v>
      </c>
      <c r="Q165">
        <f>N165-K165</f>
        <v>4</v>
      </c>
      <c r="R165">
        <f>O165-L165</f>
        <v>-1</v>
      </c>
      <c r="S165">
        <f>P165-M165</f>
        <v>3</v>
      </c>
      <c r="T165">
        <v>9</v>
      </c>
      <c r="U165" s="14">
        <v>2056.8199999999997</v>
      </c>
      <c r="V165" s="14">
        <v>55</v>
      </c>
      <c r="W165" s="16">
        <v>6.6478229542681513E-6</v>
      </c>
      <c r="X165" s="16">
        <v>9.9606644306484218E-5</v>
      </c>
    </row>
    <row r="166" spans="1:24" x14ac:dyDescent="0.2">
      <c r="A166" t="s">
        <v>17</v>
      </c>
      <c r="B166" t="s">
        <v>23</v>
      </c>
      <c r="C166" t="s">
        <v>45</v>
      </c>
      <c r="D166" t="s">
        <v>121</v>
      </c>
      <c r="E166" t="s">
        <v>364</v>
      </c>
      <c r="F166" t="s">
        <v>1199</v>
      </c>
      <c r="H166" t="s">
        <v>1669</v>
      </c>
      <c r="I166" t="s">
        <v>1671</v>
      </c>
      <c r="J166" t="s">
        <v>1673</v>
      </c>
      <c r="K166">
        <v>0</v>
      </c>
      <c r="L166">
        <v>1</v>
      </c>
      <c r="M166">
        <v>1</v>
      </c>
      <c r="N166">
        <v>4</v>
      </c>
      <c r="O166">
        <v>0</v>
      </c>
      <c r="P166">
        <v>4</v>
      </c>
      <c r="Q166">
        <f>N166-K166</f>
        <v>4</v>
      </c>
      <c r="R166">
        <f>O166-L166</f>
        <v>-1</v>
      </c>
      <c r="S166">
        <f>P166-M166</f>
        <v>3</v>
      </c>
      <c r="T166">
        <v>2</v>
      </c>
      <c r="U166" s="14">
        <v>1636</v>
      </c>
      <c r="V166" s="14">
        <v>6</v>
      </c>
      <c r="W166" s="16">
        <v>5.2876957406008771E-6</v>
      </c>
      <c r="X166" s="16">
        <v>1.0866179378889186E-5</v>
      </c>
    </row>
    <row r="167" spans="1:24" x14ac:dyDescent="0.2">
      <c r="A167" t="s">
        <v>12</v>
      </c>
      <c r="B167" t="s">
        <v>19</v>
      </c>
      <c r="C167" t="s">
        <v>28</v>
      </c>
      <c r="D167" t="s">
        <v>72</v>
      </c>
      <c r="E167" t="s">
        <v>261</v>
      </c>
      <c r="F167" t="s">
        <v>1200</v>
      </c>
      <c r="H167" t="s">
        <v>1669</v>
      </c>
      <c r="I167" t="s">
        <v>1670</v>
      </c>
      <c r="J167" t="s">
        <v>1674</v>
      </c>
      <c r="K167">
        <v>0</v>
      </c>
      <c r="L167">
        <v>1</v>
      </c>
      <c r="M167">
        <v>1</v>
      </c>
      <c r="N167">
        <v>4</v>
      </c>
      <c r="O167">
        <v>0</v>
      </c>
      <c r="P167">
        <v>4</v>
      </c>
      <c r="Q167">
        <f>N167-K167</f>
        <v>4</v>
      </c>
      <c r="R167">
        <f>O167-L167</f>
        <v>-1</v>
      </c>
      <c r="S167">
        <f>P167-M167</f>
        <v>3</v>
      </c>
      <c r="T167">
        <v>14</v>
      </c>
      <c r="U167" s="14">
        <v>24179.439999999999</v>
      </c>
      <c r="V167" s="14">
        <v>192</v>
      </c>
      <c r="W167" s="16">
        <v>7.8150074509849925E-5</v>
      </c>
      <c r="X167" s="16">
        <v>3.4771774012445396E-4</v>
      </c>
    </row>
    <row r="168" spans="1:24" x14ac:dyDescent="0.2">
      <c r="A168" t="s">
        <v>12</v>
      </c>
      <c r="B168" t="s">
        <v>18</v>
      </c>
      <c r="C168" t="s">
        <v>32</v>
      </c>
      <c r="D168" t="s">
        <v>83</v>
      </c>
      <c r="E168" t="s">
        <v>286</v>
      </c>
      <c r="F168" t="s">
        <v>1227</v>
      </c>
      <c r="H168" t="s">
        <v>1669</v>
      </c>
      <c r="I168" t="s">
        <v>1670</v>
      </c>
      <c r="J168" t="s">
        <v>1674</v>
      </c>
      <c r="K168">
        <v>0</v>
      </c>
      <c r="L168">
        <v>1</v>
      </c>
      <c r="M168">
        <v>1</v>
      </c>
      <c r="N168">
        <v>4</v>
      </c>
      <c r="O168">
        <v>0</v>
      </c>
      <c r="P168">
        <v>4</v>
      </c>
      <c r="Q168">
        <f>N168-K168</f>
        <v>4</v>
      </c>
      <c r="R168">
        <f>O168-L168</f>
        <v>-1</v>
      </c>
      <c r="S168">
        <f>P168-M168</f>
        <v>3</v>
      </c>
      <c r="T168">
        <v>69</v>
      </c>
      <c r="U168" s="14">
        <v>245711.88999999996</v>
      </c>
      <c r="V168" s="14">
        <v>957</v>
      </c>
      <c r="W168" s="16">
        <v>7.9416241697309966E-4</v>
      </c>
      <c r="X168" s="16">
        <v>1.7331556109328253E-3</v>
      </c>
    </row>
    <row r="169" spans="1:24" x14ac:dyDescent="0.2">
      <c r="A169" t="s">
        <v>17</v>
      </c>
      <c r="B169" t="s">
        <v>24</v>
      </c>
      <c r="C169" t="s">
        <v>49</v>
      </c>
      <c r="D169" t="s">
        <v>180</v>
      </c>
      <c r="E169" t="s">
        <v>534</v>
      </c>
      <c r="F169" t="s">
        <v>534</v>
      </c>
      <c r="H169" t="s">
        <v>1669</v>
      </c>
      <c r="I169" t="s">
        <v>1671</v>
      </c>
      <c r="J169" t="s">
        <v>1674</v>
      </c>
      <c r="K169">
        <v>0</v>
      </c>
      <c r="L169">
        <v>2</v>
      </c>
      <c r="M169">
        <v>2</v>
      </c>
      <c r="N169">
        <v>5</v>
      </c>
      <c r="O169">
        <v>0</v>
      </c>
      <c r="P169">
        <v>5</v>
      </c>
      <c r="Q169">
        <f>N169-K169</f>
        <v>5</v>
      </c>
      <c r="R169">
        <f>O169-L169</f>
        <v>-2</v>
      </c>
      <c r="S169">
        <f>P169-M169</f>
        <v>3</v>
      </c>
      <c r="T169">
        <v>57</v>
      </c>
      <c r="U169" s="14">
        <v>112439.61999999998</v>
      </c>
      <c r="V169" s="14">
        <v>494</v>
      </c>
      <c r="W169" s="16">
        <v>3.6341473089778799E-4</v>
      </c>
      <c r="X169" s="16">
        <v>8.9464876886187635E-4</v>
      </c>
    </row>
    <row r="170" spans="1:24" x14ac:dyDescent="0.2">
      <c r="A170" t="s">
        <v>17</v>
      </c>
      <c r="B170" t="s">
        <v>23</v>
      </c>
      <c r="C170" t="s">
        <v>60</v>
      </c>
      <c r="D170" t="s">
        <v>173</v>
      </c>
      <c r="E170" t="s">
        <v>556</v>
      </c>
      <c r="F170" t="s">
        <v>1218</v>
      </c>
      <c r="H170" t="s">
        <v>1669</v>
      </c>
      <c r="I170" t="s">
        <v>1671</v>
      </c>
      <c r="J170" t="s">
        <v>1674</v>
      </c>
      <c r="K170">
        <v>0</v>
      </c>
      <c r="L170">
        <v>6</v>
      </c>
      <c r="M170">
        <v>6</v>
      </c>
      <c r="N170">
        <v>6</v>
      </c>
      <c r="O170">
        <v>3</v>
      </c>
      <c r="P170">
        <v>9</v>
      </c>
      <c r="Q170">
        <f>N170-K170</f>
        <v>6</v>
      </c>
      <c r="R170">
        <f>O170-L170</f>
        <v>-3</v>
      </c>
      <c r="S170">
        <f>P170-M170</f>
        <v>3</v>
      </c>
      <c r="T170">
        <v>14</v>
      </c>
      <c r="U170" s="14">
        <v>70565.02</v>
      </c>
      <c r="V170" s="14">
        <v>162</v>
      </c>
      <c r="W170" s="16">
        <v>2.2807234455343261E-4</v>
      </c>
      <c r="X170" s="16">
        <v>2.9338684323000803E-4</v>
      </c>
    </row>
    <row r="171" spans="1:24" x14ac:dyDescent="0.2">
      <c r="A171" t="s">
        <v>12</v>
      </c>
      <c r="B171" t="s">
        <v>18</v>
      </c>
      <c r="C171" t="s">
        <v>32</v>
      </c>
      <c r="D171" t="s">
        <v>83</v>
      </c>
      <c r="E171" t="s">
        <v>285</v>
      </c>
      <c r="F171" t="s">
        <v>739</v>
      </c>
      <c r="H171" t="s">
        <v>1669</v>
      </c>
      <c r="I171" t="s">
        <v>1671</v>
      </c>
      <c r="J171" t="s">
        <v>1674</v>
      </c>
      <c r="K171">
        <v>8</v>
      </c>
      <c r="L171">
        <v>1</v>
      </c>
      <c r="M171">
        <v>9</v>
      </c>
      <c r="N171">
        <v>6</v>
      </c>
      <c r="O171">
        <v>5</v>
      </c>
      <c r="P171">
        <v>11</v>
      </c>
      <c r="Q171">
        <f>N171-K171</f>
        <v>-2</v>
      </c>
      <c r="R171">
        <f>O171-L171</f>
        <v>4</v>
      </c>
      <c r="S171">
        <f>P171-M171</f>
        <v>2</v>
      </c>
      <c r="T171">
        <v>138</v>
      </c>
      <c r="U171" s="14">
        <v>1223775.8699999996</v>
      </c>
      <c r="V171" s="14">
        <v>2978</v>
      </c>
      <c r="W171" s="16">
        <v>3.9553511340153615E-3</v>
      </c>
      <c r="X171" s="16">
        <v>5.3932470317219995E-3</v>
      </c>
    </row>
    <row r="172" spans="1:24" x14ac:dyDescent="0.2">
      <c r="A172" t="s">
        <v>16</v>
      </c>
      <c r="B172" t="s">
        <v>22</v>
      </c>
      <c r="C172" t="s">
        <v>39</v>
      </c>
      <c r="D172" t="s">
        <v>189</v>
      </c>
      <c r="E172" t="s">
        <v>189</v>
      </c>
      <c r="F172" t="s">
        <v>1131</v>
      </c>
      <c r="H172" t="s">
        <v>1669</v>
      </c>
      <c r="I172" t="s">
        <v>1670</v>
      </c>
      <c r="J172" t="s">
        <v>1674</v>
      </c>
      <c r="K172">
        <v>0</v>
      </c>
      <c r="L172">
        <v>2</v>
      </c>
      <c r="M172">
        <v>2</v>
      </c>
      <c r="N172">
        <v>0</v>
      </c>
      <c r="O172">
        <v>4</v>
      </c>
      <c r="P172">
        <v>4</v>
      </c>
      <c r="Q172">
        <f>N172-K172</f>
        <v>0</v>
      </c>
      <c r="R172">
        <f>O172-L172</f>
        <v>2</v>
      </c>
      <c r="S172">
        <f>P172-M172</f>
        <v>2</v>
      </c>
      <c r="T172">
        <v>30</v>
      </c>
      <c r="U172" s="14">
        <v>157432.96999999997</v>
      </c>
      <c r="V172" s="14">
        <v>1315</v>
      </c>
      <c r="W172" s="16">
        <v>5.0883719125864645E-4</v>
      </c>
      <c r="X172" s="16">
        <v>2.3815043138732134E-3</v>
      </c>
    </row>
    <row r="173" spans="1:24" x14ac:dyDescent="0.2">
      <c r="A173" t="s">
        <v>12</v>
      </c>
      <c r="B173" t="s">
        <v>18</v>
      </c>
      <c r="C173" t="s">
        <v>32</v>
      </c>
      <c r="D173" t="s">
        <v>83</v>
      </c>
      <c r="E173" t="s">
        <v>287</v>
      </c>
      <c r="F173" t="s">
        <v>742</v>
      </c>
      <c r="H173" t="s">
        <v>1669</v>
      </c>
      <c r="I173" t="s">
        <v>1671</v>
      </c>
      <c r="J173" t="s">
        <v>1674</v>
      </c>
      <c r="K173">
        <v>2</v>
      </c>
      <c r="L173">
        <v>1</v>
      </c>
      <c r="M173">
        <v>3</v>
      </c>
      <c r="N173">
        <v>3</v>
      </c>
      <c r="O173">
        <v>2</v>
      </c>
      <c r="P173">
        <v>5</v>
      </c>
      <c r="Q173">
        <f>N173-K173</f>
        <v>1</v>
      </c>
      <c r="R173">
        <f>O173-L173</f>
        <v>1</v>
      </c>
      <c r="S173">
        <f>P173-M173</f>
        <v>2</v>
      </c>
      <c r="T173">
        <v>105</v>
      </c>
      <c r="U173" s="14">
        <v>305244.11</v>
      </c>
      <c r="V173" s="14">
        <v>700</v>
      </c>
      <c r="W173" s="16">
        <v>9.8657578257365861E-4</v>
      </c>
      <c r="X173" s="16">
        <v>1.2677209275370718E-3</v>
      </c>
    </row>
    <row r="174" spans="1:24" x14ac:dyDescent="0.2">
      <c r="A174" t="s">
        <v>14</v>
      </c>
      <c r="B174" t="s">
        <v>19</v>
      </c>
      <c r="C174" t="s">
        <v>48</v>
      </c>
      <c r="D174" t="s">
        <v>132</v>
      </c>
      <c r="E174" t="s">
        <v>558</v>
      </c>
      <c r="F174" t="s">
        <v>1222</v>
      </c>
      <c r="H174" t="s">
        <v>1669</v>
      </c>
      <c r="I174" t="s">
        <v>1670</v>
      </c>
      <c r="J174" t="s">
        <v>1674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2</v>
      </c>
      <c r="Q174">
        <f>N174-K174</f>
        <v>1</v>
      </c>
      <c r="R174">
        <f>O174-L174</f>
        <v>1</v>
      </c>
      <c r="S174">
        <f>P174-M174</f>
        <v>2</v>
      </c>
      <c r="T174">
        <v>3</v>
      </c>
      <c r="U174" s="14">
        <v>11120.65</v>
      </c>
      <c r="V174" s="14">
        <v>24</v>
      </c>
      <c r="W174" s="16">
        <v>3.5942917871462805E-5</v>
      </c>
      <c r="X174" s="16">
        <v>4.3464717515556745E-5</v>
      </c>
    </row>
    <row r="175" spans="1:24" x14ac:dyDescent="0.2">
      <c r="A175" t="s">
        <v>14</v>
      </c>
      <c r="B175" t="s">
        <v>19</v>
      </c>
      <c r="C175" t="s">
        <v>48</v>
      </c>
      <c r="D175" t="s">
        <v>132</v>
      </c>
      <c r="E175" t="s">
        <v>560</v>
      </c>
      <c r="F175" t="s">
        <v>1651</v>
      </c>
      <c r="H175" t="s">
        <v>1669</v>
      </c>
      <c r="I175" t="s">
        <v>1670</v>
      </c>
      <c r="J175" t="s">
        <v>1674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2</v>
      </c>
      <c r="Q175">
        <f>N175-K175</f>
        <v>1</v>
      </c>
      <c r="R175">
        <f>O175-L175</f>
        <v>1</v>
      </c>
      <c r="S175">
        <f>P175-M175</f>
        <v>2</v>
      </c>
      <c r="T175">
        <v>0</v>
      </c>
      <c r="U175" s="14">
        <v>0</v>
      </c>
      <c r="V175" s="14">
        <v>0</v>
      </c>
      <c r="W175" s="16">
        <v>0</v>
      </c>
      <c r="X175" s="16">
        <v>0</v>
      </c>
    </row>
    <row r="176" spans="1:24" x14ac:dyDescent="0.2">
      <c r="A176" t="s">
        <v>14</v>
      </c>
      <c r="B176" s="1" t="s">
        <v>19</v>
      </c>
      <c r="C176" s="2" t="s">
        <v>48</v>
      </c>
      <c r="D176" s="2" t="s">
        <v>131</v>
      </c>
      <c r="E176" s="2" t="s">
        <v>1681</v>
      </c>
      <c r="F176" s="2" t="s">
        <v>1682</v>
      </c>
      <c r="G176" s="2"/>
      <c r="H176" t="s">
        <v>1669</v>
      </c>
      <c r="I176" s="3">
        <v>0</v>
      </c>
      <c r="J176" t="s">
        <v>1674</v>
      </c>
      <c r="K176">
        <v>1</v>
      </c>
      <c r="L176">
        <v>0</v>
      </c>
      <c r="M176">
        <v>1</v>
      </c>
      <c r="N176">
        <v>2</v>
      </c>
      <c r="O176">
        <v>1</v>
      </c>
      <c r="P176">
        <v>3</v>
      </c>
      <c r="Q176">
        <f>N176-K176</f>
        <v>1</v>
      </c>
      <c r="R176">
        <f>O176-L176</f>
        <v>1</v>
      </c>
      <c r="S176">
        <f>P176-M176</f>
        <v>2</v>
      </c>
      <c r="T176">
        <v>17</v>
      </c>
      <c r="U176" s="14">
        <v>77341.079999999987</v>
      </c>
      <c r="V176" s="14">
        <v>202</v>
      </c>
      <c r="W176" s="16">
        <v>2.4997316582486042E-4</v>
      </c>
      <c r="X176" s="16">
        <v>3.6582803908926926E-4</v>
      </c>
    </row>
    <row r="177" spans="1:24" x14ac:dyDescent="0.2">
      <c r="A177" t="s">
        <v>12</v>
      </c>
      <c r="B177" t="s">
        <v>19</v>
      </c>
      <c r="C177" t="s">
        <v>28</v>
      </c>
      <c r="D177" t="s">
        <v>72</v>
      </c>
      <c r="E177" t="s">
        <v>264</v>
      </c>
      <c r="F177" t="s">
        <v>715</v>
      </c>
      <c r="H177" t="s">
        <v>1669</v>
      </c>
      <c r="I177" t="s">
        <v>1670</v>
      </c>
      <c r="J177" t="s">
        <v>1674</v>
      </c>
      <c r="K177">
        <v>1</v>
      </c>
      <c r="L177">
        <v>1</v>
      </c>
      <c r="M177">
        <v>2</v>
      </c>
      <c r="N177">
        <v>3</v>
      </c>
      <c r="O177">
        <v>1</v>
      </c>
      <c r="P177">
        <v>4</v>
      </c>
      <c r="Q177">
        <f>N177-K177</f>
        <v>2</v>
      </c>
      <c r="R177">
        <f>O177-L177</f>
        <v>0</v>
      </c>
      <c r="S177">
        <f>P177-M177</f>
        <v>2</v>
      </c>
      <c r="T177">
        <v>81</v>
      </c>
      <c r="U177" s="14">
        <v>405475.77</v>
      </c>
      <c r="V177" s="14">
        <v>620</v>
      </c>
      <c r="W177" s="16">
        <v>1.3105333141478369E-3</v>
      </c>
      <c r="X177" s="16">
        <v>1.1228385358185494E-3</v>
      </c>
    </row>
    <row r="178" spans="1:24" x14ac:dyDescent="0.2">
      <c r="A178" t="s">
        <v>14</v>
      </c>
      <c r="B178" s="35" t="s">
        <v>19</v>
      </c>
      <c r="C178" t="s">
        <v>52</v>
      </c>
      <c r="D178" t="s">
        <v>140</v>
      </c>
      <c r="E178" t="s">
        <v>392</v>
      </c>
      <c r="F178" t="s">
        <v>1617</v>
      </c>
      <c r="H178" t="s">
        <v>1670</v>
      </c>
      <c r="I178" t="s">
        <v>1670</v>
      </c>
      <c r="J178" t="s">
        <v>1674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f>N178-K178</f>
        <v>0</v>
      </c>
      <c r="R178">
        <f>O178-L178</f>
        <v>0</v>
      </c>
      <c r="S178">
        <f>P178-M178</f>
        <v>0</v>
      </c>
      <c r="T178">
        <v>47</v>
      </c>
      <c r="U178" s="14">
        <v>324059.90999999997</v>
      </c>
      <c r="V178" s="14">
        <v>570</v>
      </c>
      <c r="W178" s="16">
        <v>1.0473901013487185E-3</v>
      </c>
      <c r="X178" s="16">
        <v>1.0322870409944728E-3</v>
      </c>
    </row>
    <row r="179" spans="1:24" x14ac:dyDescent="0.2">
      <c r="A179" t="s">
        <v>13</v>
      </c>
      <c r="B179" t="s">
        <v>20</v>
      </c>
      <c r="C179" t="s">
        <v>33</v>
      </c>
      <c r="D179" t="s">
        <v>87</v>
      </c>
      <c r="E179" t="s">
        <v>297</v>
      </c>
      <c r="F179" t="s">
        <v>766</v>
      </c>
      <c r="H179" t="s">
        <v>1669</v>
      </c>
      <c r="I179" t="s">
        <v>1671</v>
      </c>
      <c r="J179" t="s">
        <v>1674</v>
      </c>
      <c r="K179">
        <v>2</v>
      </c>
      <c r="L179">
        <v>0</v>
      </c>
      <c r="M179">
        <v>2</v>
      </c>
      <c r="N179">
        <v>4</v>
      </c>
      <c r="O179">
        <v>0</v>
      </c>
      <c r="P179">
        <v>4</v>
      </c>
      <c r="Q179">
        <f>N179-K179</f>
        <v>2</v>
      </c>
      <c r="R179">
        <f>O179-L179</f>
        <v>0</v>
      </c>
      <c r="S179">
        <f>P179-M179</f>
        <v>2</v>
      </c>
      <c r="T179">
        <v>5</v>
      </c>
      <c r="U179" s="14">
        <v>121077.95</v>
      </c>
      <c r="V179" s="14">
        <v>63</v>
      </c>
      <c r="W179" s="16">
        <v>3.9133457243012589E-4</v>
      </c>
      <c r="X179" s="16">
        <v>1.1409488347833646E-4</v>
      </c>
    </row>
    <row r="180" spans="1:24" x14ac:dyDescent="0.2">
      <c r="A180" t="s">
        <v>13</v>
      </c>
      <c r="B180" t="s">
        <v>20</v>
      </c>
      <c r="C180" t="s">
        <v>33</v>
      </c>
      <c r="D180" t="s">
        <v>87</v>
      </c>
      <c r="E180" t="s">
        <v>298</v>
      </c>
      <c r="F180" t="s">
        <v>779</v>
      </c>
      <c r="H180" t="s">
        <v>1669</v>
      </c>
      <c r="I180" t="s">
        <v>1670</v>
      </c>
      <c r="J180" t="s">
        <v>1674</v>
      </c>
      <c r="K180">
        <v>1</v>
      </c>
      <c r="L180">
        <v>0</v>
      </c>
      <c r="M180">
        <v>1</v>
      </c>
      <c r="N180">
        <v>3</v>
      </c>
      <c r="O180">
        <v>0</v>
      </c>
      <c r="P180">
        <v>3</v>
      </c>
      <c r="Q180">
        <f>N180-K180</f>
        <v>2</v>
      </c>
      <c r="R180">
        <f>O180-L180</f>
        <v>0</v>
      </c>
      <c r="S180">
        <f>P180-M180</f>
        <v>2</v>
      </c>
      <c r="T180">
        <v>14</v>
      </c>
      <c r="U180" s="14">
        <v>54896.7</v>
      </c>
      <c r="V180" s="14">
        <v>29</v>
      </c>
      <c r="W180" s="16">
        <v>1.7743095767912235E-4</v>
      </c>
      <c r="X180" s="16">
        <v>5.2519866997964405E-5</v>
      </c>
    </row>
    <row r="181" spans="1:24" x14ac:dyDescent="0.2">
      <c r="A181" t="s">
        <v>13</v>
      </c>
      <c r="B181" t="s">
        <v>22</v>
      </c>
      <c r="C181" t="s">
        <v>36</v>
      </c>
      <c r="D181" t="s">
        <v>89</v>
      </c>
      <c r="E181" t="s">
        <v>308</v>
      </c>
      <c r="F181" t="s">
        <v>804</v>
      </c>
      <c r="H181" t="s">
        <v>1669</v>
      </c>
      <c r="I181" t="s">
        <v>1670</v>
      </c>
      <c r="J181" t="s">
        <v>1674</v>
      </c>
      <c r="K181">
        <v>1</v>
      </c>
      <c r="L181">
        <v>0</v>
      </c>
      <c r="M181">
        <v>1</v>
      </c>
      <c r="N181">
        <v>3</v>
      </c>
      <c r="O181">
        <v>0</v>
      </c>
      <c r="P181">
        <v>3</v>
      </c>
      <c r="Q181">
        <f>N181-K181</f>
        <v>2</v>
      </c>
      <c r="R181">
        <f>O181-L181</f>
        <v>0</v>
      </c>
      <c r="S181">
        <f>P181-M181</f>
        <v>2</v>
      </c>
      <c r="T181">
        <v>5</v>
      </c>
      <c r="U181" s="14">
        <v>13751.21</v>
      </c>
      <c r="V181" s="14">
        <v>42</v>
      </c>
      <c r="W181" s="16">
        <v>4.4445118915102807E-5</v>
      </c>
      <c r="X181" s="16">
        <v>7.6063255652224305E-5</v>
      </c>
    </row>
    <row r="182" spans="1:24" x14ac:dyDescent="0.2">
      <c r="A182" t="s">
        <v>13</v>
      </c>
      <c r="B182" t="s">
        <v>20</v>
      </c>
      <c r="C182" t="s">
        <v>31</v>
      </c>
      <c r="D182" t="s">
        <v>82</v>
      </c>
      <c r="E182" t="s">
        <v>316</v>
      </c>
      <c r="F182" t="s">
        <v>818</v>
      </c>
      <c r="H182" t="s">
        <v>1669</v>
      </c>
      <c r="I182" t="s">
        <v>1670</v>
      </c>
      <c r="J182" t="s">
        <v>1673</v>
      </c>
      <c r="K182">
        <v>1</v>
      </c>
      <c r="L182">
        <v>0</v>
      </c>
      <c r="M182">
        <v>1</v>
      </c>
      <c r="N182">
        <v>3</v>
      </c>
      <c r="O182">
        <v>0</v>
      </c>
      <c r="P182">
        <v>3</v>
      </c>
      <c r="Q182">
        <f>N182-K182</f>
        <v>2</v>
      </c>
      <c r="R182">
        <f>O182-L182</f>
        <v>0</v>
      </c>
      <c r="S182">
        <f>P182-M182</f>
        <v>2</v>
      </c>
      <c r="T182">
        <v>0</v>
      </c>
      <c r="U182" s="14">
        <v>0</v>
      </c>
      <c r="V182" s="14">
        <v>0</v>
      </c>
      <c r="W182" s="16">
        <v>0</v>
      </c>
      <c r="X182" s="16">
        <v>0</v>
      </c>
    </row>
    <row r="183" spans="1:24" x14ac:dyDescent="0.2">
      <c r="A183" t="s">
        <v>13</v>
      </c>
      <c r="B183" t="s">
        <v>20</v>
      </c>
      <c r="C183" t="s">
        <v>31</v>
      </c>
      <c r="D183" t="s">
        <v>93</v>
      </c>
      <c r="E183" t="s">
        <v>319</v>
      </c>
      <c r="F183" t="s">
        <v>825</v>
      </c>
      <c r="H183" t="s">
        <v>1669</v>
      </c>
      <c r="I183" t="s">
        <v>1671</v>
      </c>
      <c r="J183" t="s">
        <v>1674</v>
      </c>
      <c r="K183">
        <v>1</v>
      </c>
      <c r="L183">
        <v>0</v>
      </c>
      <c r="M183">
        <v>1</v>
      </c>
      <c r="N183">
        <v>3</v>
      </c>
      <c r="O183">
        <v>0</v>
      </c>
      <c r="P183">
        <v>3</v>
      </c>
      <c r="Q183">
        <f>N183-K183</f>
        <v>2</v>
      </c>
      <c r="R183">
        <f>O183-L183</f>
        <v>0</v>
      </c>
      <c r="S183">
        <f>P183-M183</f>
        <v>2</v>
      </c>
      <c r="T183">
        <v>5</v>
      </c>
      <c r="U183" s="14">
        <v>11283.51</v>
      </c>
      <c r="V183" s="14">
        <v>13</v>
      </c>
      <c r="W183" s="16">
        <v>3.6469295700505747E-5</v>
      </c>
      <c r="X183" s="16">
        <v>2.3543388654259903E-5</v>
      </c>
    </row>
    <row r="184" spans="1:24" x14ac:dyDescent="0.2">
      <c r="A184" t="s">
        <v>13</v>
      </c>
      <c r="B184" t="s">
        <v>21</v>
      </c>
      <c r="C184" t="s">
        <v>35</v>
      </c>
      <c r="D184" t="s">
        <v>95</v>
      </c>
      <c r="E184" t="s">
        <v>324</v>
      </c>
      <c r="F184" t="s">
        <v>838</v>
      </c>
      <c r="H184" t="s">
        <v>1669</v>
      </c>
      <c r="I184" t="s">
        <v>1671</v>
      </c>
      <c r="J184" t="s">
        <v>1674</v>
      </c>
      <c r="K184">
        <v>1</v>
      </c>
      <c r="L184">
        <v>0</v>
      </c>
      <c r="M184">
        <v>1</v>
      </c>
      <c r="N184">
        <v>3</v>
      </c>
      <c r="O184">
        <v>0</v>
      </c>
      <c r="P184">
        <v>3</v>
      </c>
      <c r="Q184">
        <f>N184-K184</f>
        <v>2</v>
      </c>
      <c r="R184">
        <f>O184-L184</f>
        <v>0</v>
      </c>
      <c r="S184">
        <f>P184-M184</f>
        <v>2</v>
      </c>
      <c r="T184">
        <v>2</v>
      </c>
      <c r="U184" s="14">
        <v>7364.69</v>
      </c>
      <c r="V184" s="14">
        <v>3</v>
      </c>
      <c r="W184" s="16">
        <v>2.3803325149050044E-5</v>
      </c>
      <c r="X184" s="16">
        <v>5.4330896894445931E-6</v>
      </c>
    </row>
    <row r="185" spans="1:24" x14ac:dyDescent="0.2">
      <c r="A185" t="s">
        <v>13</v>
      </c>
      <c r="B185" t="s">
        <v>22</v>
      </c>
      <c r="C185" t="s">
        <v>41</v>
      </c>
      <c r="D185" t="s">
        <v>108</v>
      </c>
      <c r="E185" t="s">
        <v>345</v>
      </c>
      <c r="F185" t="s">
        <v>853</v>
      </c>
      <c r="H185" t="s">
        <v>1669</v>
      </c>
      <c r="I185" t="s">
        <v>1670</v>
      </c>
      <c r="J185" t="s">
        <v>1674</v>
      </c>
      <c r="K185">
        <v>8</v>
      </c>
      <c r="L185">
        <v>0</v>
      </c>
      <c r="M185">
        <v>8</v>
      </c>
      <c r="N185">
        <v>10</v>
      </c>
      <c r="O185">
        <v>0</v>
      </c>
      <c r="P185">
        <v>10</v>
      </c>
      <c r="Q185">
        <f>N185-K185</f>
        <v>2</v>
      </c>
      <c r="R185">
        <f>O185-L185</f>
        <v>0</v>
      </c>
      <c r="S185">
        <f>P185-M185</f>
        <v>2</v>
      </c>
      <c r="T185">
        <v>0</v>
      </c>
      <c r="U185" s="14">
        <v>0</v>
      </c>
      <c r="V185" s="14">
        <v>0</v>
      </c>
      <c r="W185" s="16">
        <v>0</v>
      </c>
      <c r="X185" s="16">
        <v>0</v>
      </c>
    </row>
    <row r="186" spans="1:24" x14ac:dyDescent="0.2">
      <c r="A186" t="s">
        <v>15</v>
      </c>
      <c r="B186" t="s">
        <v>24</v>
      </c>
      <c r="C186" t="s">
        <v>58</v>
      </c>
      <c r="D186" t="s">
        <v>148</v>
      </c>
      <c r="E186" t="s">
        <v>407</v>
      </c>
      <c r="F186" t="s">
        <v>937</v>
      </c>
      <c r="H186" t="s">
        <v>1669</v>
      </c>
      <c r="I186" t="s">
        <v>1670</v>
      </c>
      <c r="J186" t="s">
        <v>1674</v>
      </c>
      <c r="K186">
        <v>4</v>
      </c>
      <c r="L186">
        <v>0</v>
      </c>
      <c r="M186">
        <v>4</v>
      </c>
      <c r="N186">
        <v>6</v>
      </c>
      <c r="O186">
        <v>0</v>
      </c>
      <c r="P186">
        <v>6</v>
      </c>
      <c r="Q186">
        <f>N186-K186</f>
        <v>2</v>
      </c>
      <c r="R186">
        <f>O186-L186</f>
        <v>0</v>
      </c>
      <c r="S186">
        <f>P186-M186</f>
        <v>2</v>
      </c>
      <c r="T186">
        <v>21</v>
      </c>
      <c r="U186" s="14">
        <v>21649.25</v>
      </c>
      <c r="V186" s="14">
        <v>36</v>
      </c>
      <c r="W186" s="16">
        <v>6.9972278124818789E-5</v>
      </c>
      <c r="X186" s="16">
        <v>6.519707627333512E-5</v>
      </c>
    </row>
    <row r="187" spans="1:24" x14ac:dyDescent="0.2">
      <c r="A187" t="s">
        <v>16</v>
      </c>
      <c r="B187" t="s">
        <v>22</v>
      </c>
      <c r="C187" t="s">
        <v>39</v>
      </c>
      <c r="D187" t="s">
        <v>156</v>
      </c>
      <c r="E187" t="s">
        <v>433</v>
      </c>
      <c r="F187" t="s">
        <v>993</v>
      </c>
      <c r="H187" t="s">
        <v>1670</v>
      </c>
      <c r="I187" t="s">
        <v>1671</v>
      </c>
      <c r="J187" t="s">
        <v>1674</v>
      </c>
      <c r="K187">
        <v>6</v>
      </c>
      <c r="L187">
        <v>0</v>
      </c>
      <c r="M187">
        <v>6</v>
      </c>
      <c r="N187">
        <v>5</v>
      </c>
      <c r="O187">
        <v>0</v>
      </c>
      <c r="P187">
        <v>5</v>
      </c>
      <c r="Q187">
        <f>N187-K187</f>
        <v>-1</v>
      </c>
      <c r="R187">
        <f>O187-L187</f>
        <v>0</v>
      </c>
      <c r="S187">
        <f>P187-M187</f>
        <v>-1</v>
      </c>
      <c r="T187">
        <v>7</v>
      </c>
      <c r="U187" s="14">
        <v>305481.73</v>
      </c>
      <c r="V187" s="14">
        <v>66</v>
      </c>
      <c r="W187" s="16">
        <v>9.8734379129119024E-4</v>
      </c>
      <c r="X187" s="16">
        <v>1.1952797316778106E-4</v>
      </c>
    </row>
    <row r="188" spans="1:24" x14ac:dyDescent="0.2">
      <c r="A188" t="s">
        <v>16</v>
      </c>
      <c r="B188" t="s">
        <v>22</v>
      </c>
      <c r="C188" t="s">
        <v>39</v>
      </c>
      <c r="D188" t="s">
        <v>156</v>
      </c>
      <c r="E188" t="s">
        <v>438</v>
      </c>
      <c r="F188" t="s">
        <v>1366</v>
      </c>
      <c r="H188" t="s">
        <v>1670</v>
      </c>
      <c r="I188" t="s">
        <v>1670</v>
      </c>
      <c r="J188" t="s">
        <v>1674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2</v>
      </c>
      <c r="Q188">
        <f>N188-K188</f>
        <v>2</v>
      </c>
      <c r="R188">
        <f>O188-L188</f>
        <v>0</v>
      </c>
      <c r="S188">
        <f>P188-M188</f>
        <v>2</v>
      </c>
      <c r="T188">
        <v>61</v>
      </c>
      <c r="U188" s="14">
        <v>300536.79999999987</v>
      </c>
      <c r="V188" s="14">
        <v>1703</v>
      </c>
      <c r="W188" s="16">
        <v>9.7136134306468041E-4</v>
      </c>
      <c r="X188" s="16">
        <v>3.0841839137080475E-3</v>
      </c>
    </row>
    <row r="189" spans="1:24" x14ac:dyDescent="0.2">
      <c r="A189" t="s">
        <v>16</v>
      </c>
      <c r="B189" t="s">
        <v>22</v>
      </c>
      <c r="C189" t="s">
        <v>46</v>
      </c>
      <c r="D189" t="s">
        <v>168</v>
      </c>
      <c r="E189" t="s">
        <v>465</v>
      </c>
      <c r="F189" t="s">
        <v>1046</v>
      </c>
      <c r="G189" t="s">
        <v>1719</v>
      </c>
      <c r="H189" t="s">
        <v>1670</v>
      </c>
      <c r="I189" t="s">
        <v>1672</v>
      </c>
      <c r="J189" t="s">
        <v>1674</v>
      </c>
      <c r="K189">
        <v>3</v>
      </c>
      <c r="L189">
        <v>0</v>
      </c>
      <c r="M189">
        <v>3</v>
      </c>
      <c r="N189">
        <v>0</v>
      </c>
      <c r="O189">
        <v>0</v>
      </c>
      <c r="P189">
        <v>0</v>
      </c>
      <c r="Q189">
        <f>N189-K189</f>
        <v>-3</v>
      </c>
      <c r="R189">
        <f>O189-L189</f>
        <v>0</v>
      </c>
      <c r="S189">
        <f>P189-M189</f>
        <v>-3</v>
      </c>
      <c r="T189">
        <v>298</v>
      </c>
      <c r="U189" s="14">
        <v>288785.05000000016</v>
      </c>
      <c r="V189" s="14">
        <v>4165</v>
      </c>
      <c r="W189" s="16">
        <v>9.3337865454413949E-4</v>
      </c>
      <c r="X189" s="16">
        <v>7.542939518845577E-3</v>
      </c>
    </row>
    <row r="190" spans="1:24" x14ac:dyDescent="0.2">
      <c r="A190" t="s">
        <v>16</v>
      </c>
      <c r="B190" t="s">
        <v>22</v>
      </c>
      <c r="C190" t="s">
        <v>39</v>
      </c>
      <c r="D190" t="s">
        <v>163</v>
      </c>
      <c r="E190" t="s">
        <v>457</v>
      </c>
      <c r="F190" t="s">
        <v>1473</v>
      </c>
      <c r="H190" t="s">
        <v>1670</v>
      </c>
      <c r="I190" t="s">
        <v>1670</v>
      </c>
      <c r="J190" t="s">
        <v>1674</v>
      </c>
      <c r="K190">
        <v>0</v>
      </c>
      <c r="L190">
        <v>0</v>
      </c>
      <c r="M190">
        <v>0</v>
      </c>
      <c r="N190">
        <v>5</v>
      </c>
      <c r="O190">
        <v>0</v>
      </c>
      <c r="P190">
        <v>5</v>
      </c>
      <c r="Q190">
        <f>N190-K190</f>
        <v>5</v>
      </c>
      <c r="R190">
        <f>O190-L190</f>
        <v>0</v>
      </c>
      <c r="S190">
        <f>P190-M190</f>
        <v>5</v>
      </c>
      <c r="T190">
        <v>104</v>
      </c>
      <c r="U190" s="14">
        <v>279449.06</v>
      </c>
      <c r="V190" s="14">
        <v>1585</v>
      </c>
      <c r="W190" s="16">
        <v>9.0320391459469381E-4</v>
      </c>
      <c r="X190" s="16">
        <v>2.8704823859232267E-3</v>
      </c>
    </row>
    <row r="191" spans="1:24" x14ac:dyDescent="0.2">
      <c r="A191" t="s">
        <v>13</v>
      </c>
      <c r="B191" t="s">
        <v>22</v>
      </c>
      <c r="C191" t="s">
        <v>37</v>
      </c>
      <c r="D191" t="s">
        <v>98</v>
      </c>
      <c r="E191" t="s">
        <v>331</v>
      </c>
      <c r="F191" t="s">
        <v>331</v>
      </c>
      <c r="H191" t="s">
        <v>1670</v>
      </c>
      <c r="I191" t="s">
        <v>1670</v>
      </c>
      <c r="J191" t="s">
        <v>1674</v>
      </c>
      <c r="K191">
        <v>3</v>
      </c>
      <c r="L191">
        <v>0</v>
      </c>
      <c r="M191">
        <v>3</v>
      </c>
      <c r="N191">
        <v>0</v>
      </c>
      <c r="O191">
        <v>0</v>
      </c>
      <c r="P191">
        <v>0</v>
      </c>
      <c r="Q191">
        <f>N191-K191</f>
        <v>-3</v>
      </c>
      <c r="R191">
        <f>O191-L191</f>
        <v>0</v>
      </c>
      <c r="S191">
        <f>P191-M191</f>
        <v>-3</v>
      </c>
      <c r="T191">
        <v>85</v>
      </c>
      <c r="U191" s="14">
        <v>272152.19999999995</v>
      </c>
      <c r="V191" s="14">
        <v>350</v>
      </c>
      <c r="W191" s="16">
        <v>8.796198219652554E-4</v>
      </c>
      <c r="X191" s="16">
        <v>6.3386046376853592E-4</v>
      </c>
    </row>
    <row r="192" spans="1:24" x14ac:dyDescent="0.2">
      <c r="A192" t="s">
        <v>16</v>
      </c>
      <c r="B192" t="s">
        <v>22</v>
      </c>
      <c r="C192" t="s">
        <v>39</v>
      </c>
      <c r="D192" t="s">
        <v>157</v>
      </c>
      <c r="E192" t="s">
        <v>442</v>
      </c>
      <c r="F192" t="s">
        <v>1612</v>
      </c>
      <c r="H192" t="s">
        <v>1670</v>
      </c>
      <c r="I192" t="s">
        <v>1670</v>
      </c>
      <c r="J192" t="s">
        <v>1674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3</v>
      </c>
      <c r="Q192">
        <f>N192-K192</f>
        <v>3</v>
      </c>
      <c r="R192">
        <f>O192-L192</f>
        <v>0</v>
      </c>
      <c r="S192">
        <f>P192-M192</f>
        <v>3</v>
      </c>
      <c r="T192">
        <v>19</v>
      </c>
      <c r="U192" s="14">
        <v>266158.67000000004</v>
      </c>
      <c r="V192" s="14">
        <v>398</v>
      </c>
      <c r="W192" s="16">
        <v>8.6024820640769853E-4</v>
      </c>
      <c r="X192" s="16">
        <v>7.207898987996494E-4</v>
      </c>
    </row>
    <row r="193" spans="1:24" x14ac:dyDescent="0.2">
      <c r="A193" t="s">
        <v>16</v>
      </c>
      <c r="B193" t="s">
        <v>22</v>
      </c>
      <c r="C193" t="s">
        <v>39</v>
      </c>
      <c r="D193" t="s">
        <v>159</v>
      </c>
      <c r="E193" t="s">
        <v>448</v>
      </c>
      <c r="F193" t="s">
        <v>1022</v>
      </c>
      <c r="H193" t="s">
        <v>1670</v>
      </c>
      <c r="I193" t="s">
        <v>1671</v>
      </c>
      <c r="J193" t="s">
        <v>1674</v>
      </c>
      <c r="K193">
        <v>6</v>
      </c>
      <c r="L193">
        <v>0</v>
      </c>
      <c r="M193">
        <v>6</v>
      </c>
      <c r="N193">
        <v>6</v>
      </c>
      <c r="O193">
        <v>0</v>
      </c>
      <c r="P193">
        <v>6</v>
      </c>
      <c r="Q193">
        <f>N193-K193</f>
        <v>0</v>
      </c>
      <c r="R193">
        <f>O193-L193</f>
        <v>0</v>
      </c>
      <c r="S193">
        <f>P193-M193</f>
        <v>0</v>
      </c>
      <c r="T193">
        <v>45</v>
      </c>
      <c r="U193" s="14">
        <v>250755.12</v>
      </c>
      <c r="V193" s="14">
        <v>551</v>
      </c>
      <c r="W193" s="16">
        <v>8.1046257943634588E-4</v>
      </c>
      <c r="X193" s="16">
        <v>9.9787747296132363E-4</v>
      </c>
    </row>
    <row r="194" spans="1:24" x14ac:dyDescent="0.2">
      <c r="A194" t="s">
        <v>16</v>
      </c>
      <c r="B194" t="s">
        <v>22</v>
      </c>
      <c r="C194" t="s">
        <v>39</v>
      </c>
      <c r="D194" t="s">
        <v>163</v>
      </c>
      <c r="E194" t="s">
        <v>614</v>
      </c>
      <c r="F194" t="s">
        <v>1408</v>
      </c>
      <c r="H194" t="s">
        <v>1670</v>
      </c>
      <c r="I194" t="s">
        <v>1670</v>
      </c>
      <c r="J194" t="s">
        <v>1674</v>
      </c>
      <c r="K194">
        <v>0</v>
      </c>
      <c r="L194">
        <v>0</v>
      </c>
      <c r="M194">
        <v>0</v>
      </c>
      <c r="N194">
        <v>5</v>
      </c>
      <c r="O194">
        <v>0</v>
      </c>
      <c r="P194">
        <v>5</v>
      </c>
      <c r="Q194">
        <f>N194-K194</f>
        <v>5</v>
      </c>
      <c r="R194">
        <f>O194-L194</f>
        <v>0</v>
      </c>
      <c r="S194">
        <f>P194-M194</f>
        <v>5</v>
      </c>
      <c r="T194">
        <v>29</v>
      </c>
      <c r="U194" s="14">
        <v>247641.30999999994</v>
      </c>
      <c r="V194" s="14">
        <v>1656</v>
      </c>
      <c r="W194" s="16">
        <v>8.00398471933876E-4</v>
      </c>
      <c r="X194" s="16">
        <v>2.9990655085734156E-3</v>
      </c>
    </row>
    <row r="195" spans="1:24" x14ac:dyDescent="0.2">
      <c r="A195" t="s">
        <v>16</v>
      </c>
      <c r="B195" t="s">
        <v>22</v>
      </c>
      <c r="C195" t="s">
        <v>39</v>
      </c>
      <c r="D195" t="s">
        <v>165</v>
      </c>
      <c r="E195" t="s">
        <v>460</v>
      </c>
      <c r="F195" t="s">
        <v>1041</v>
      </c>
      <c r="H195" t="s">
        <v>1670</v>
      </c>
      <c r="I195" t="s">
        <v>1670</v>
      </c>
      <c r="J195" t="s">
        <v>1674</v>
      </c>
      <c r="K195">
        <v>2</v>
      </c>
      <c r="L195">
        <v>0</v>
      </c>
      <c r="M195">
        <v>2</v>
      </c>
      <c r="N195">
        <v>2</v>
      </c>
      <c r="O195">
        <v>0</v>
      </c>
      <c r="P195">
        <v>2</v>
      </c>
      <c r="Q195">
        <f>N195-K195</f>
        <v>0</v>
      </c>
      <c r="R195">
        <f>O195-L195</f>
        <v>0</v>
      </c>
      <c r="S195">
        <f>P195-M195</f>
        <v>0</v>
      </c>
      <c r="T195">
        <v>32</v>
      </c>
      <c r="U195" s="14">
        <v>242911.06000000003</v>
      </c>
      <c r="V195" s="14">
        <v>270</v>
      </c>
      <c r="W195" s="16">
        <v>7.8510988832936697E-4</v>
      </c>
      <c r="X195" s="16">
        <v>4.8897807205001336E-4</v>
      </c>
    </row>
    <row r="196" spans="1:24" x14ac:dyDescent="0.2">
      <c r="A196" t="s">
        <v>14</v>
      </c>
      <c r="B196" t="s">
        <v>19</v>
      </c>
      <c r="C196" t="s">
        <v>48</v>
      </c>
      <c r="D196" t="s">
        <v>131</v>
      </c>
      <c r="E196" t="s">
        <v>525</v>
      </c>
      <c r="F196" t="s">
        <v>1152</v>
      </c>
      <c r="H196" t="s">
        <v>1669</v>
      </c>
      <c r="I196" t="s">
        <v>1670</v>
      </c>
      <c r="J196" t="s">
        <v>1674</v>
      </c>
      <c r="K196">
        <v>0</v>
      </c>
      <c r="L196">
        <v>1</v>
      </c>
      <c r="M196">
        <v>1</v>
      </c>
      <c r="N196">
        <v>2</v>
      </c>
      <c r="O196">
        <v>1</v>
      </c>
      <c r="P196">
        <v>3</v>
      </c>
      <c r="Q196">
        <f>N196-K196</f>
        <v>2</v>
      </c>
      <c r="R196">
        <f>O196-L196</f>
        <v>0</v>
      </c>
      <c r="S196">
        <f>P196-M196</f>
        <v>2</v>
      </c>
      <c r="T196">
        <v>5</v>
      </c>
      <c r="U196" s="14">
        <v>4635.13</v>
      </c>
      <c r="V196" s="14">
        <v>42</v>
      </c>
      <c r="W196" s="16">
        <v>1.4981147407170748E-5</v>
      </c>
      <c r="X196" s="16">
        <v>7.6063255652224305E-5</v>
      </c>
    </row>
    <row r="197" spans="1:24" x14ac:dyDescent="0.2">
      <c r="A197" t="s">
        <v>14</v>
      </c>
      <c r="B197" t="s">
        <v>19</v>
      </c>
      <c r="C197" t="s">
        <v>48</v>
      </c>
      <c r="D197" t="s">
        <v>132</v>
      </c>
      <c r="E197" t="s">
        <v>375</v>
      </c>
      <c r="F197" t="s">
        <v>1153</v>
      </c>
      <c r="H197" t="s">
        <v>1669</v>
      </c>
      <c r="I197" t="s">
        <v>1670</v>
      </c>
      <c r="J197" t="s">
        <v>1674</v>
      </c>
      <c r="K197">
        <v>0</v>
      </c>
      <c r="L197">
        <v>1</v>
      </c>
      <c r="M197">
        <v>1</v>
      </c>
      <c r="N197">
        <v>2</v>
      </c>
      <c r="O197">
        <v>1</v>
      </c>
      <c r="P197">
        <v>3</v>
      </c>
      <c r="Q197">
        <f>N197-K197</f>
        <v>2</v>
      </c>
      <c r="R197">
        <f>O197-L197</f>
        <v>0</v>
      </c>
      <c r="S197">
        <f>P197-M197</f>
        <v>2</v>
      </c>
      <c r="T197">
        <v>64</v>
      </c>
      <c r="U197" s="14">
        <v>145836.26999999999</v>
      </c>
      <c r="V197" s="14">
        <v>537</v>
      </c>
      <c r="W197" s="16">
        <v>4.7135563796095323E-4</v>
      </c>
      <c r="X197" s="16">
        <v>9.7252305441058225E-4</v>
      </c>
    </row>
    <row r="198" spans="1:24" x14ac:dyDescent="0.2">
      <c r="A198" t="s">
        <v>15</v>
      </c>
      <c r="B198" t="s">
        <v>24</v>
      </c>
      <c r="C198" t="s">
        <v>58</v>
      </c>
      <c r="D198" t="s">
        <v>150</v>
      </c>
      <c r="E198" t="s">
        <v>533</v>
      </c>
      <c r="F198" t="s">
        <v>1160</v>
      </c>
      <c r="H198" t="s">
        <v>1669</v>
      </c>
      <c r="I198" t="s">
        <v>1670</v>
      </c>
      <c r="J198" t="s">
        <v>1674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2</v>
      </c>
      <c r="Q198">
        <f>N198-K198</f>
        <v>2</v>
      </c>
      <c r="R198">
        <f>O198-L198</f>
        <v>0</v>
      </c>
      <c r="S198">
        <f>P198-M198</f>
        <v>2</v>
      </c>
      <c r="T198">
        <v>12</v>
      </c>
      <c r="U198" s="14">
        <v>10459.449999999999</v>
      </c>
      <c r="V198" s="14">
        <v>97</v>
      </c>
      <c r="W198" s="16">
        <v>3.3805861377767629E-5</v>
      </c>
      <c r="X198" s="16">
        <v>1.7566989995870851E-4</v>
      </c>
    </row>
    <row r="199" spans="1:24" x14ac:dyDescent="0.2">
      <c r="A199" t="s">
        <v>14</v>
      </c>
      <c r="B199" t="s">
        <v>19</v>
      </c>
      <c r="C199" t="s">
        <v>48</v>
      </c>
      <c r="D199" t="s">
        <v>132</v>
      </c>
      <c r="E199" t="s">
        <v>541</v>
      </c>
      <c r="F199" t="s">
        <v>1184</v>
      </c>
      <c r="H199" t="s">
        <v>1669</v>
      </c>
      <c r="I199" t="s">
        <v>1670</v>
      </c>
      <c r="J199" t="s">
        <v>1674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2</v>
      </c>
      <c r="Q199">
        <f>N199-K199</f>
        <v>2</v>
      </c>
      <c r="R199">
        <f>O199-L199</f>
        <v>0</v>
      </c>
      <c r="S199">
        <f>P199-M199</f>
        <v>2</v>
      </c>
      <c r="T199">
        <v>10</v>
      </c>
      <c r="U199" s="14">
        <v>29786.649999999998</v>
      </c>
      <c r="V199" s="14">
        <v>207</v>
      </c>
      <c r="W199" s="16">
        <v>9.6273069884944448E-5</v>
      </c>
      <c r="X199" s="16">
        <v>3.7488318857167695E-4</v>
      </c>
    </row>
    <row r="200" spans="1:24" x14ac:dyDescent="0.2">
      <c r="A200" t="s">
        <v>12</v>
      </c>
      <c r="B200" t="s">
        <v>18</v>
      </c>
      <c r="C200" t="s">
        <v>32</v>
      </c>
      <c r="D200" t="s">
        <v>83</v>
      </c>
      <c r="E200" t="s">
        <v>287</v>
      </c>
      <c r="F200" t="s">
        <v>1235</v>
      </c>
      <c r="H200" t="s">
        <v>1669</v>
      </c>
      <c r="I200" t="s">
        <v>1670</v>
      </c>
      <c r="J200" t="s">
        <v>1674</v>
      </c>
      <c r="K200">
        <v>0</v>
      </c>
      <c r="L200">
        <v>1</v>
      </c>
      <c r="M200">
        <v>1</v>
      </c>
      <c r="N200">
        <v>2</v>
      </c>
      <c r="O200">
        <v>1</v>
      </c>
      <c r="P200">
        <v>3</v>
      </c>
      <c r="Q200">
        <f>N200-K200</f>
        <v>2</v>
      </c>
      <c r="R200">
        <f>O200-L200</f>
        <v>0</v>
      </c>
      <c r="S200">
        <f>P200-M200</f>
        <v>2</v>
      </c>
      <c r="T200">
        <v>44</v>
      </c>
      <c r="U200" s="14">
        <v>263156.91000000003</v>
      </c>
      <c r="V200" s="14">
        <v>500</v>
      </c>
      <c r="W200" s="16">
        <v>8.5054625435005413E-4</v>
      </c>
      <c r="X200" s="16">
        <v>9.0551494824076559E-4</v>
      </c>
    </row>
    <row r="201" spans="1:24" x14ac:dyDescent="0.2">
      <c r="A201" t="s">
        <v>12</v>
      </c>
      <c r="B201" t="s">
        <v>18</v>
      </c>
      <c r="C201" t="s">
        <v>28</v>
      </c>
      <c r="D201" t="s">
        <v>75</v>
      </c>
      <c r="E201" t="s">
        <v>586</v>
      </c>
      <c r="F201" t="s">
        <v>586</v>
      </c>
      <c r="G201" t="s">
        <v>1719</v>
      </c>
      <c r="H201" t="s">
        <v>1669</v>
      </c>
      <c r="I201" t="s">
        <v>1671</v>
      </c>
      <c r="J201" t="s">
        <v>1674</v>
      </c>
      <c r="K201">
        <v>0</v>
      </c>
      <c r="L201">
        <v>0</v>
      </c>
      <c r="M201">
        <v>0</v>
      </c>
      <c r="N201">
        <v>2</v>
      </c>
      <c r="O201">
        <v>0</v>
      </c>
      <c r="P201">
        <v>2</v>
      </c>
      <c r="Q201">
        <f>N201-K201</f>
        <v>2</v>
      </c>
      <c r="R201">
        <f>O201-L201</f>
        <v>0</v>
      </c>
      <c r="S201">
        <f>P201-M201</f>
        <v>2</v>
      </c>
      <c r="T201">
        <v>0</v>
      </c>
      <c r="U201" s="14">
        <v>0</v>
      </c>
      <c r="V201" s="14">
        <v>0</v>
      </c>
      <c r="W201" s="16">
        <v>0</v>
      </c>
      <c r="X201" s="16">
        <v>0</v>
      </c>
    </row>
    <row r="202" spans="1:24" x14ac:dyDescent="0.2">
      <c r="A202" t="s">
        <v>15</v>
      </c>
      <c r="B202" t="s">
        <v>24</v>
      </c>
      <c r="C202" t="s">
        <v>58</v>
      </c>
      <c r="D202" t="s">
        <v>149</v>
      </c>
      <c r="E202" t="s">
        <v>421</v>
      </c>
      <c r="F202" t="s">
        <v>1329</v>
      </c>
      <c r="H202" t="s">
        <v>1669</v>
      </c>
      <c r="I202" t="s">
        <v>1670</v>
      </c>
      <c r="J202" t="s">
        <v>1674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2</v>
      </c>
      <c r="Q202">
        <f>N202-K202</f>
        <v>2</v>
      </c>
      <c r="R202">
        <f>O202-L202</f>
        <v>0</v>
      </c>
      <c r="S202">
        <f>P202-M202</f>
        <v>2</v>
      </c>
      <c r="T202">
        <v>0</v>
      </c>
      <c r="U202" s="14">
        <v>0</v>
      </c>
      <c r="V202" s="14">
        <v>0</v>
      </c>
      <c r="W202" s="16">
        <v>0</v>
      </c>
      <c r="X202" s="16">
        <v>0</v>
      </c>
    </row>
    <row r="203" spans="1:24" x14ac:dyDescent="0.2">
      <c r="A203" t="s">
        <v>12</v>
      </c>
      <c r="B203" t="s">
        <v>19</v>
      </c>
      <c r="C203" t="s">
        <v>28</v>
      </c>
      <c r="D203" t="s">
        <v>193</v>
      </c>
      <c r="E203" t="s">
        <v>590</v>
      </c>
      <c r="F203" t="s">
        <v>590</v>
      </c>
      <c r="H203" t="s">
        <v>1669</v>
      </c>
      <c r="I203" t="s">
        <v>1670</v>
      </c>
      <c r="J203" t="s">
        <v>1674</v>
      </c>
      <c r="K203">
        <v>0</v>
      </c>
      <c r="L203">
        <v>0</v>
      </c>
      <c r="M203">
        <v>0</v>
      </c>
      <c r="N203">
        <v>2</v>
      </c>
      <c r="O203">
        <v>0</v>
      </c>
      <c r="P203">
        <v>2</v>
      </c>
      <c r="Q203">
        <f>N203-K203</f>
        <v>2</v>
      </c>
      <c r="R203">
        <f>O203-L203</f>
        <v>0</v>
      </c>
      <c r="S203">
        <f>P203-M203</f>
        <v>2</v>
      </c>
      <c r="T203">
        <v>14</v>
      </c>
      <c r="U203" s="14">
        <v>53507.149999999994</v>
      </c>
      <c r="V203" s="14">
        <v>177</v>
      </c>
      <c r="W203" s="16">
        <v>1.7293980999186565E-4</v>
      </c>
      <c r="X203" s="16">
        <v>3.2055229167723102E-4</v>
      </c>
    </row>
    <row r="204" spans="1:24" x14ac:dyDescent="0.2">
      <c r="A204" t="s">
        <v>16</v>
      </c>
      <c r="B204" t="s">
        <v>22</v>
      </c>
      <c r="C204" t="s">
        <v>39</v>
      </c>
      <c r="D204" t="s">
        <v>204</v>
      </c>
      <c r="E204" t="s">
        <v>204</v>
      </c>
      <c r="F204" t="s">
        <v>1339</v>
      </c>
      <c r="H204" t="s">
        <v>1669</v>
      </c>
      <c r="I204" t="s">
        <v>1670</v>
      </c>
      <c r="J204" t="s">
        <v>1674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2</v>
      </c>
      <c r="Q204">
        <f>N204-K204</f>
        <v>2</v>
      </c>
      <c r="R204">
        <f>O204-L204</f>
        <v>0</v>
      </c>
      <c r="S204">
        <f>P204-M204</f>
        <v>2</v>
      </c>
      <c r="T204">
        <v>18</v>
      </c>
      <c r="U204" s="14">
        <v>18605.71</v>
      </c>
      <c r="V204" s="14">
        <v>32</v>
      </c>
      <c r="W204" s="16">
        <v>6.0135289436341776E-5</v>
      </c>
      <c r="X204" s="16">
        <v>5.7952956687408997E-5</v>
      </c>
    </row>
    <row r="205" spans="1:24" x14ac:dyDescent="0.2">
      <c r="A205" t="s">
        <v>16</v>
      </c>
      <c r="B205" t="s">
        <v>22</v>
      </c>
      <c r="C205" t="s">
        <v>39</v>
      </c>
      <c r="D205" t="s">
        <v>157</v>
      </c>
      <c r="E205" t="s">
        <v>441</v>
      </c>
      <c r="F205" t="s">
        <v>1006</v>
      </c>
      <c r="H205" t="s">
        <v>1670</v>
      </c>
      <c r="I205" t="s">
        <v>1670</v>
      </c>
      <c r="J205" t="s">
        <v>1674</v>
      </c>
      <c r="K205">
        <v>3</v>
      </c>
      <c r="L205">
        <v>0</v>
      </c>
      <c r="M205">
        <v>3</v>
      </c>
      <c r="N205">
        <v>2</v>
      </c>
      <c r="O205">
        <v>0</v>
      </c>
      <c r="P205">
        <v>2</v>
      </c>
      <c r="Q205">
        <f>N205-K205</f>
        <v>-1</v>
      </c>
      <c r="R205">
        <f>O205-L205</f>
        <v>0</v>
      </c>
      <c r="S205">
        <f>P205-M205</f>
        <v>-1</v>
      </c>
      <c r="T205">
        <v>40</v>
      </c>
      <c r="U205" s="14">
        <v>231008.70000000004</v>
      </c>
      <c r="V205" s="14">
        <v>266</v>
      </c>
      <c r="W205" s="16">
        <v>7.4664041505607959E-4</v>
      </c>
      <c r="X205" s="16">
        <v>4.8173395246408729E-4</v>
      </c>
    </row>
    <row r="206" spans="1:24" x14ac:dyDescent="0.2">
      <c r="A206" t="s">
        <v>14</v>
      </c>
      <c r="B206" s="35" t="s">
        <v>19</v>
      </c>
      <c r="C206" t="s">
        <v>52</v>
      </c>
      <c r="D206" t="s">
        <v>140</v>
      </c>
      <c r="E206" t="s">
        <v>392</v>
      </c>
      <c r="F206" t="s">
        <v>908</v>
      </c>
      <c r="H206" t="s">
        <v>1670</v>
      </c>
      <c r="I206" t="s">
        <v>1670</v>
      </c>
      <c r="J206" t="s">
        <v>1674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</v>
      </c>
      <c r="Q206">
        <f>N206-K206</f>
        <v>0</v>
      </c>
      <c r="R206">
        <f>O206-L206</f>
        <v>0</v>
      </c>
      <c r="S206">
        <f>P206-M206</f>
        <v>0</v>
      </c>
      <c r="T206">
        <v>73</v>
      </c>
      <c r="U206" s="14">
        <v>229617.70999999996</v>
      </c>
      <c r="V206" s="14">
        <v>766</v>
      </c>
      <c r="W206" s="16">
        <v>7.4214461316230275E-4</v>
      </c>
      <c r="X206" s="16">
        <v>1.3872489007048529E-3</v>
      </c>
    </row>
    <row r="207" spans="1:24" x14ac:dyDescent="0.2">
      <c r="A207" t="s">
        <v>14</v>
      </c>
      <c r="B207" s="35" t="s">
        <v>19</v>
      </c>
      <c r="C207" t="s">
        <v>42</v>
      </c>
      <c r="D207" t="s">
        <v>111</v>
      </c>
      <c r="E207" t="s">
        <v>354</v>
      </c>
      <c r="F207" t="s">
        <v>859</v>
      </c>
      <c r="H207" t="s">
        <v>1670</v>
      </c>
      <c r="I207" t="s">
        <v>1670</v>
      </c>
      <c r="J207" t="s">
        <v>1674</v>
      </c>
      <c r="K207">
        <v>10</v>
      </c>
      <c r="L207">
        <v>0</v>
      </c>
      <c r="M207">
        <v>10</v>
      </c>
      <c r="N207">
        <v>10</v>
      </c>
      <c r="O207">
        <v>0</v>
      </c>
      <c r="P207">
        <v>10</v>
      </c>
      <c r="Q207">
        <f>N207-K207</f>
        <v>0</v>
      </c>
      <c r="R207">
        <f>O207-L207</f>
        <v>0</v>
      </c>
      <c r="S207">
        <f>P207-M207</f>
        <v>0</v>
      </c>
      <c r="T207">
        <v>19</v>
      </c>
      <c r="U207" s="14">
        <v>215650.68000000002</v>
      </c>
      <c r="V207" s="14">
        <v>919</v>
      </c>
      <c r="W207" s="16">
        <v>6.9700194504503847E-4</v>
      </c>
      <c r="X207" s="16">
        <v>1.6643364748665272E-3</v>
      </c>
    </row>
    <row r="208" spans="1:24" x14ac:dyDescent="0.2">
      <c r="A208" t="s">
        <v>14</v>
      </c>
      <c r="B208" s="35" t="s">
        <v>19</v>
      </c>
      <c r="C208" t="s">
        <v>48</v>
      </c>
      <c r="D208" t="s">
        <v>130</v>
      </c>
      <c r="E208" t="s">
        <v>372</v>
      </c>
      <c r="F208" t="s">
        <v>1402</v>
      </c>
      <c r="H208" t="s">
        <v>1670</v>
      </c>
      <c r="I208" t="s">
        <v>1670</v>
      </c>
      <c r="J208" t="s">
        <v>1674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f>N208-K208</f>
        <v>0</v>
      </c>
      <c r="R208">
        <f>O208-L208</f>
        <v>0</v>
      </c>
      <c r="S208">
        <f>P208-M208</f>
        <v>0</v>
      </c>
      <c r="T208">
        <v>22</v>
      </c>
      <c r="U208" s="14">
        <v>207367.48000000004</v>
      </c>
      <c r="V208" s="14">
        <v>759</v>
      </c>
      <c r="W208" s="16">
        <v>6.7022991487477863E-4</v>
      </c>
      <c r="X208" s="16">
        <v>1.374571691429482E-3</v>
      </c>
    </row>
    <row r="209" spans="1:24" x14ac:dyDescent="0.2">
      <c r="A209" t="s">
        <v>13</v>
      </c>
      <c r="B209" t="s">
        <v>22</v>
      </c>
      <c r="C209" t="s">
        <v>40</v>
      </c>
      <c r="D209" t="s">
        <v>107</v>
      </c>
      <c r="E209" t="s">
        <v>344</v>
      </c>
      <c r="F209" t="s">
        <v>852</v>
      </c>
      <c r="H209" t="s">
        <v>1670</v>
      </c>
      <c r="I209" t="s">
        <v>1670</v>
      </c>
      <c r="J209" t="s">
        <v>1674</v>
      </c>
      <c r="K209">
        <v>1</v>
      </c>
      <c r="L209">
        <v>0</v>
      </c>
      <c r="M209">
        <v>1</v>
      </c>
      <c r="N209">
        <v>2</v>
      </c>
      <c r="O209">
        <v>0</v>
      </c>
      <c r="P209">
        <v>2</v>
      </c>
      <c r="Q209">
        <f>N209-K209</f>
        <v>1</v>
      </c>
      <c r="R209">
        <f>O209-L209</f>
        <v>0</v>
      </c>
      <c r="S209">
        <f>P209-M209</f>
        <v>1</v>
      </c>
      <c r="T209">
        <v>25</v>
      </c>
      <c r="U209" s="14">
        <v>206203.96999999997</v>
      </c>
      <c r="V209" s="14">
        <v>127</v>
      </c>
      <c r="W209" s="16">
        <v>6.6646934832762287E-4</v>
      </c>
      <c r="X209" s="16">
        <v>2.3000079685315446E-4</v>
      </c>
    </row>
    <row r="210" spans="1:24" x14ac:dyDescent="0.2">
      <c r="A210" t="s">
        <v>16</v>
      </c>
      <c r="B210" t="s">
        <v>22</v>
      </c>
      <c r="C210" t="s">
        <v>39</v>
      </c>
      <c r="D210" t="s">
        <v>156</v>
      </c>
      <c r="E210" t="s">
        <v>436</v>
      </c>
      <c r="F210" t="s">
        <v>1418</v>
      </c>
      <c r="H210" t="s">
        <v>1670</v>
      </c>
      <c r="I210" t="s">
        <v>1670</v>
      </c>
      <c r="J210" t="s">
        <v>1673</v>
      </c>
      <c r="K210">
        <v>0</v>
      </c>
      <c r="L210">
        <v>0</v>
      </c>
      <c r="M210">
        <v>0</v>
      </c>
      <c r="N210">
        <v>4</v>
      </c>
      <c r="O210">
        <v>0</v>
      </c>
      <c r="P210">
        <v>4</v>
      </c>
      <c r="Q210">
        <f>N210-K210</f>
        <v>4</v>
      </c>
      <c r="R210">
        <f>O210-L210</f>
        <v>0</v>
      </c>
      <c r="S210">
        <f>P210-M210</f>
        <v>4</v>
      </c>
      <c r="T210">
        <v>32</v>
      </c>
      <c r="U210" s="14">
        <v>204755.05</v>
      </c>
      <c r="V210" s="14">
        <v>297</v>
      </c>
      <c r="W210" s="16">
        <v>6.617863115840585E-4</v>
      </c>
      <c r="X210" s="16">
        <v>5.3787587925501477E-4</v>
      </c>
    </row>
    <row r="211" spans="1:24" x14ac:dyDescent="0.2">
      <c r="A211" t="s">
        <v>14</v>
      </c>
      <c r="B211" s="35" t="s">
        <v>19</v>
      </c>
      <c r="C211" t="s">
        <v>56</v>
      </c>
      <c r="D211" t="s">
        <v>144</v>
      </c>
      <c r="E211" t="s">
        <v>397</v>
      </c>
      <c r="F211" t="s">
        <v>918</v>
      </c>
      <c r="H211" t="s">
        <v>1670</v>
      </c>
      <c r="I211" t="s">
        <v>1670</v>
      </c>
      <c r="J211" t="s">
        <v>1674</v>
      </c>
      <c r="K211">
        <v>3</v>
      </c>
      <c r="L211">
        <v>0</v>
      </c>
      <c r="M211">
        <v>3</v>
      </c>
      <c r="N211">
        <v>3</v>
      </c>
      <c r="O211">
        <v>0</v>
      </c>
      <c r="P211">
        <v>3</v>
      </c>
      <c r="Q211">
        <f>N211-K211</f>
        <v>0</v>
      </c>
      <c r="R211">
        <f>O211-L211</f>
        <v>0</v>
      </c>
      <c r="S211">
        <f>P211-M211</f>
        <v>0</v>
      </c>
      <c r="T211">
        <v>5</v>
      </c>
      <c r="U211" s="14">
        <v>198654.08000000002</v>
      </c>
      <c r="V211" s="14">
        <v>341</v>
      </c>
      <c r="W211" s="16">
        <v>6.4206744050671516E-4</v>
      </c>
      <c r="X211" s="16">
        <v>6.1756119470020212E-4</v>
      </c>
    </row>
    <row r="212" spans="1:24" x14ac:dyDescent="0.2">
      <c r="A212" t="s">
        <v>16</v>
      </c>
      <c r="B212" t="s">
        <v>22</v>
      </c>
      <c r="C212" t="s">
        <v>39</v>
      </c>
      <c r="D212" t="s">
        <v>156</v>
      </c>
      <c r="E212" t="s">
        <v>433</v>
      </c>
      <c r="F212" t="s">
        <v>991</v>
      </c>
      <c r="H212" t="s">
        <v>1670</v>
      </c>
      <c r="I212" t="s">
        <v>1670</v>
      </c>
      <c r="J212" t="s">
        <v>1674</v>
      </c>
      <c r="K212">
        <v>6</v>
      </c>
      <c r="L212">
        <v>0</v>
      </c>
      <c r="M212">
        <v>6</v>
      </c>
      <c r="N212">
        <v>3</v>
      </c>
      <c r="O212">
        <v>0</v>
      </c>
      <c r="P212">
        <v>3</v>
      </c>
      <c r="Q212">
        <f>N212-K212</f>
        <v>-3</v>
      </c>
      <c r="R212">
        <f>O212-L212</f>
        <v>0</v>
      </c>
      <c r="S212">
        <f>P212-M212</f>
        <v>-3</v>
      </c>
      <c r="T212">
        <v>36</v>
      </c>
      <c r="U212" s="14">
        <v>195370.37</v>
      </c>
      <c r="V212" s="14">
        <v>104</v>
      </c>
      <c r="W212" s="16">
        <v>6.3145420127666096E-4</v>
      </c>
      <c r="X212" s="16">
        <v>1.8834710923407922E-4</v>
      </c>
    </row>
    <row r="213" spans="1:24" x14ac:dyDescent="0.2">
      <c r="A213" t="s">
        <v>16</v>
      </c>
      <c r="B213" t="s">
        <v>22</v>
      </c>
      <c r="C213" t="s">
        <v>39</v>
      </c>
      <c r="D213" t="s">
        <v>163</v>
      </c>
      <c r="E213" t="s">
        <v>614</v>
      </c>
      <c r="F213" t="s">
        <v>1414</v>
      </c>
      <c r="H213" t="s">
        <v>1670</v>
      </c>
      <c r="I213" t="s">
        <v>1670</v>
      </c>
      <c r="J213" t="s">
        <v>1674</v>
      </c>
      <c r="K213">
        <v>0</v>
      </c>
      <c r="L213">
        <v>0</v>
      </c>
      <c r="M213">
        <v>0</v>
      </c>
      <c r="N213">
        <v>5</v>
      </c>
      <c r="O213">
        <v>0</v>
      </c>
      <c r="P213">
        <v>5</v>
      </c>
      <c r="Q213">
        <f>N213-K213</f>
        <v>5</v>
      </c>
      <c r="R213">
        <f>O213-L213</f>
        <v>0</v>
      </c>
      <c r="S213">
        <f>P213-M213</f>
        <v>5</v>
      </c>
      <c r="T213">
        <v>46</v>
      </c>
      <c r="U213" s="14">
        <v>194908.52000000002</v>
      </c>
      <c r="V213" s="14">
        <v>1580</v>
      </c>
      <c r="W213" s="16">
        <v>6.2996146149805685E-4</v>
      </c>
      <c r="X213" s="16">
        <v>2.8614272364408193E-3</v>
      </c>
    </row>
    <row r="214" spans="1:24" x14ac:dyDescent="0.2">
      <c r="A214" t="s">
        <v>14</v>
      </c>
      <c r="B214" s="35" t="s">
        <v>19</v>
      </c>
      <c r="C214" t="s">
        <v>27</v>
      </c>
      <c r="D214" t="s">
        <v>134</v>
      </c>
      <c r="E214" t="s">
        <v>381</v>
      </c>
      <c r="F214" t="s">
        <v>899</v>
      </c>
      <c r="H214" t="s">
        <v>1670</v>
      </c>
      <c r="I214" t="s">
        <v>1670</v>
      </c>
      <c r="J214" t="s">
        <v>1674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1</v>
      </c>
      <c r="Q214">
        <f>N214-K214</f>
        <v>0</v>
      </c>
      <c r="R214">
        <f>O214-L214</f>
        <v>0</v>
      </c>
      <c r="S214">
        <f>P214-M214</f>
        <v>0</v>
      </c>
      <c r="T214">
        <v>15</v>
      </c>
      <c r="U214" s="14">
        <v>177329.75</v>
      </c>
      <c r="V214" s="14">
        <v>764</v>
      </c>
      <c r="W214" s="16">
        <v>5.7314533236969346E-4</v>
      </c>
      <c r="X214" s="16">
        <v>1.3836268409118898E-3</v>
      </c>
    </row>
    <row r="215" spans="1:24" x14ac:dyDescent="0.2">
      <c r="A215" t="s">
        <v>14</v>
      </c>
      <c r="B215" s="35" t="s">
        <v>19</v>
      </c>
      <c r="C215" t="s">
        <v>42</v>
      </c>
      <c r="D215" t="s">
        <v>111</v>
      </c>
      <c r="E215" t="s">
        <v>354</v>
      </c>
      <c r="F215" t="s">
        <v>1365</v>
      </c>
      <c r="H215" t="s">
        <v>1670</v>
      </c>
      <c r="I215" t="s">
        <v>1670</v>
      </c>
      <c r="J215" t="s">
        <v>1674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f>N215-K215</f>
        <v>0</v>
      </c>
      <c r="R215">
        <f>O215-L215</f>
        <v>0</v>
      </c>
      <c r="S215">
        <f>P215-M215</f>
        <v>0</v>
      </c>
      <c r="T215">
        <v>15</v>
      </c>
      <c r="U215" s="14">
        <v>176178.74</v>
      </c>
      <c r="V215" s="14">
        <v>520</v>
      </c>
      <c r="W215" s="16">
        <v>5.6942516692080035E-4</v>
      </c>
      <c r="X215" s="16">
        <v>9.417355461703962E-4</v>
      </c>
    </row>
    <row r="216" spans="1:24" x14ac:dyDescent="0.2">
      <c r="A216" t="s">
        <v>13</v>
      </c>
      <c r="B216" t="s">
        <v>22</v>
      </c>
      <c r="C216" t="s">
        <v>40</v>
      </c>
      <c r="D216" t="s">
        <v>107</v>
      </c>
      <c r="E216" t="s">
        <v>475</v>
      </c>
      <c r="F216" t="s">
        <v>1438</v>
      </c>
      <c r="H216" t="s">
        <v>1670</v>
      </c>
      <c r="I216" t="s">
        <v>1670</v>
      </c>
      <c r="J216" t="s">
        <v>1674</v>
      </c>
      <c r="K216">
        <v>0</v>
      </c>
      <c r="L216">
        <v>0</v>
      </c>
      <c r="M216">
        <v>0</v>
      </c>
      <c r="N216">
        <v>5</v>
      </c>
      <c r="O216">
        <v>0</v>
      </c>
      <c r="P216">
        <v>5</v>
      </c>
      <c r="Q216">
        <f>N216-K216</f>
        <v>5</v>
      </c>
      <c r="R216">
        <f>O216-L216</f>
        <v>0</v>
      </c>
      <c r="S216">
        <f>P216-M216</f>
        <v>5</v>
      </c>
      <c r="T216">
        <v>36</v>
      </c>
      <c r="U216" s="14">
        <v>168138.14</v>
      </c>
      <c r="V216" s="14">
        <v>1922</v>
      </c>
      <c r="W216" s="16">
        <v>5.4343724126561981E-4</v>
      </c>
      <c r="X216" s="16">
        <v>3.480799461037503E-3</v>
      </c>
    </row>
    <row r="217" spans="1:24" x14ac:dyDescent="0.2">
      <c r="A217" t="s">
        <v>16</v>
      </c>
      <c r="B217" t="s">
        <v>22</v>
      </c>
      <c r="C217" t="s">
        <v>39</v>
      </c>
      <c r="D217" t="s">
        <v>158</v>
      </c>
      <c r="E217" t="s">
        <v>446</v>
      </c>
      <c r="F217" t="s">
        <v>1017</v>
      </c>
      <c r="H217" t="s">
        <v>1670</v>
      </c>
      <c r="I217" t="s">
        <v>1670</v>
      </c>
      <c r="J217" t="s">
        <v>1674</v>
      </c>
      <c r="K217">
        <v>1</v>
      </c>
      <c r="L217">
        <v>0</v>
      </c>
      <c r="M217">
        <v>1</v>
      </c>
      <c r="N217">
        <v>5</v>
      </c>
      <c r="O217">
        <v>0</v>
      </c>
      <c r="P217">
        <v>5</v>
      </c>
      <c r="Q217">
        <f>N217-K217</f>
        <v>4</v>
      </c>
      <c r="R217">
        <f>O217-L217</f>
        <v>0</v>
      </c>
      <c r="S217">
        <f>P217-M217</f>
        <v>4</v>
      </c>
      <c r="T217">
        <v>78</v>
      </c>
      <c r="U217" s="14">
        <v>167749.11000000002</v>
      </c>
      <c r="V217" s="14">
        <v>1132</v>
      </c>
      <c r="W217" s="16">
        <v>5.4217986212505391E-4</v>
      </c>
      <c r="X217" s="16">
        <v>2.0500858428170931E-3</v>
      </c>
    </row>
    <row r="218" spans="1:24" x14ac:dyDescent="0.2">
      <c r="A218" t="s">
        <v>16</v>
      </c>
      <c r="B218" t="s">
        <v>22</v>
      </c>
      <c r="C218" t="s">
        <v>39</v>
      </c>
      <c r="D218" t="s">
        <v>59</v>
      </c>
      <c r="E218" t="s">
        <v>595</v>
      </c>
      <c r="F218" t="s">
        <v>1367</v>
      </c>
      <c r="H218" t="s">
        <v>1670</v>
      </c>
      <c r="I218" t="s">
        <v>1671</v>
      </c>
      <c r="J218" t="s">
        <v>1674</v>
      </c>
      <c r="K218">
        <v>0</v>
      </c>
      <c r="L218">
        <v>0</v>
      </c>
      <c r="M218">
        <v>0</v>
      </c>
      <c r="N218">
        <v>10</v>
      </c>
      <c r="O218">
        <v>0</v>
      </c>
      <c r="P218">
        <v>10</v>
      </c>
      <c r="Q218">
        <f>N218-K218</f>
        <v>10</v>
      </c>
      <c r="R218">
        <f>O218-L218</f>
        <v>0</v>
      </c>
      <c r="S218">
        <f>P218-M218</f>
        <v>10</v>
      </c>
      <c r="T218">
        <v>25</v>
      </c>
      <c r="U218" s="14">
        <v>166313.87</v>
      </c>
      <c r="V218" s="14">
        <v>443</v>
      </c>
      <c r="W218" s="16">
        <v>5.3754104034342792E-4</v>
      </c>
      <c r="X218" s="16">
        <v>8.0228624414131831E-4</v>
      </c>
    </row>
    <row r="219" spans="1:24" x14ac:dyDescent="0.2">
      <c r="A219" t="s">
        <v>16</v>
      </c>
      <c r="B219" t="s">
        <v>22</v>
      </c>
      <c r="C219" t="s">
        <v>39</v>
      </c>
      <c r="D219" t="s">
        <v>157</v>
      </c>
      <c r="E219" t="s">
        <v>442</v>
      </c>
      <c r="F219" t="s">
        <v>1504</v>
      </c>
      <c r="H219" t="s">
        <v>1670</v>
      </c>
      <c r="I219" t="s">
        <v>1670</v>
      </c>
      <c r="J219" t="s">
        <v>1674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f>N219-K219</f>
        <v>0</v>
      </c>
      <c r="R219">
        <f>O219-L219</f>
        <v>0</v>
      </c>
      <c r="S219">
        <f>P219-M219</f>
        <v>0</v>
      </c>
      <c r="T219">
        <v>95</v>
      </c>
      <c r="U219" s="14">
        <v>165687.11999999994</v>
      </c>
      <c r="V219" s="14">
        <v>532</v>
      </c>
      <c r="W219" s="16">
        <v>5.3551532927654404E-4</v>
      </c>
      <c r="X219" s="16">
        <v>9.6346790492817457E-4</v>
      </c>
    </row>
    <row r="220" spans="1:24" x14ac:dyDescent="0.2">
      <c r="A220" t="s">
        <v>14</v>
      </c>
      <c r="B220" s="35" t="s">
        <v>19</v>
      </c>
      <c r="C220" t="s">
        <v>27</v>
      </c>
      <c r="D220" t="s">
        <v>105</v>
      </c>
      <c r="E220" t="s">
        <v>380</v>
      </c>
      <c r="F220" t="s">
        <v>380</v>
      </c>
      <c r="H220" t="s">
        <v>1670</v>
      </c>
      <c r="I220" t="s">
        <v>1670</v>
      </c>
      <c r="J220" t="s">
        <v>1674</v>
      </c>
      <c r="K220">
        <v>3</v>
      </c>
      <c r="L220">
        <v>0</v>
      </c>
      <c r="M220">
        <v>3</v>
      </c>
      <c r="N220">
        <v>3</v>
      </c>
      <c r="O220">
        <v>0</v>
      </c>
      <c r="P220">
        <v>3</v>
      </c>
      <c r="Q220">
        <f>N220-K220</f>
        <v>0</v>
      </c>
      <c r="R220">
        <f>O220-L220</f>
        <v>0</v>
      </c>
      <c r="S220">
        <f>P220-M220</f>
        <v>0</v>
      </c>
      <c r="T220">
        <v>74</v>
      </c>
      <c r="U220" s="14">
        <v>164746.22999999998</v>
      </c>
      <c r="V220" s="14">
        <v>622</v>
      </c>
      <c r="W220" s="16">
        <v>5.3247429012900514E-4</v>
      </c>
      <c r="X220" s="16">
        <v>1.1264605956115123E-3</v>
      </c>
    </row>
    <row r="221" spans="1:24" x14ac:dyDescent="0.2">
      <c r="A221" t="s">
        <v>16</v>
      </c>
      <c r="B221" t="s">
        <v>22</v>
      </c>
      <c r="C221" t="s">
        <v>39</v>
      </c>
      <c r="D221" t="s">
        <v>163</v>
      </c>
      <c r="E221" t="s">
        <v>614</v>
      </c>
      <c r="F221" t="s">
        <v>1573</v>
      </c>
      <c r="H221" t="s">
        <v>1670</v>
      </c>
      <c r="I221" t="s">
        <v>1670</v>
      </c>
      <c r="J221" t="s">
        <v>1674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2</v>
      </c>
      <c r="Q221">
        <f>N221-K221</f>
        <v>2</v>
      </c>
      <c r="R221">
        <f>O221-L221</f>
        <v>0</v>
      </c>
      <c r="S221">
        <f>P221-M221</f>
        <v>2</v>
      </c>
      <c r="T221">
        <v>10</v>
      </c>
      <c r="U221" s="14">
        <v>162346.26</v>
      </c>
      <c r="V221" s="14">
        <v>204</v>
      </c>
      <c r="W221" s="16">
        <v>5.2471737622523387E-4</v>
      </c>
      <c r="X221" s="16">
        <v>3.6945009888223233E-4</v>
      </c>
    </row>
    <row r="222" spans="1:24" x14ac:dyDescent="0.2">
      <c r="A222" t="s">
        <v>16</v>
      </c>
      <c r="B222" t="s">
        <v>22</v>
      </c>
      <c r="C222" t="s">
        <v>39</v>
      </c>
      <c r="D222" t="s">
        <v>163</v>
      </c>
      <c r="E222" t="s">
        <v>457</v>
      </c>
      <c r="F222" t="s">
        <v>1531</v>
      </c>
      <c r="H222" t="s">
        <v>1670</v>
      </c>
      <c r="I222" t="s">
        <v>1670</v>
      </c>
      <c r="J222" t="s">
        <v>1674</v>
      </c>
      <c r="K222">
        <v>0</v>
      </c>
      <c r="L222">
        <v>0</v>
      </c>
      <c r="M222">
        <v>0</v>
      </c>
      <c r="N222">
        <v>5</v>
      </c>
      <c r="O222">
        <v>0</v>
      </c>
      <c r="P222">
        <v>5</v>
      </c>
      <c r="Q222">
        <f>N222-K222</f>
        <v>5</v>
      </c>
      <c r="R222">
        <f>O222-L222</f>
        <v>0</v>
      </c>
      <c r="S222">
        <f>P222-M222</f>
        <v>5</v>
      </c>
      <c r="T222">
        <v>7</v>
      </c>
      <c r="U222" s="14">
        <v>160181.24</v>
      </c>
      <c r="V222" s="14">
        <v>128</v>
      </c>
      <c r="W222" s="16">
        <v>5.1771984136440516E-4</v>
      </c>
      <c r="X222" s="16">
        <v>2.3181182674963599E-4</v>
      </c>
    </row>
    <row r="223" spans="1:24" x14ac:dyDescent="0.2">
      <c r="A223" t="s">
        <v>13</v>
      </c>
      <c r="B223" s="35" t="s">
        <v>19</v>
      </c>
      <c r="C223" t="s">
        <v>34</v>
      </c>
      <c r="D223" t="s">
        <v>85</v>
      </c>
      <c r="E223" t="s">
        <v>294</v>
      </c>
      <c r="F223" t="s">
        <v>755</v>
      </c>
      <c r="H223" t="s">
        <v>1670</v>
      </c>
      <c r="I223" t="s">
        <v>1670</v>
      </c>
      <c r="J223" t="s">
        <v>1673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f>N223-K223</f>
        <v>0</v>
      </c>
      <c r="R223">
        <f>O223-L223</f>
        <v>0</v>
      </c>
      <c r="S223">
        <f>P223-M223</f>
        <v>0</v>
      </c>
      <c r="T223">
        <v>36</v>
      </c>
      <c r="U223" s="14">
        <v>155231.76</v>
      </c>
      <c r="V223" s="14">
        <v>212</v>
      </c>
      <c r="W223" s="16">
        <v>5.0172268713812821E-4</v>
      </c>
      <c r="X223" s="16">
        <v>3.8393833805408457E-4</v>
      </c>
    </row>
    <row r="224" spans="1:24" x14ac:dyDescent="0.2">
      <c r="A224" t="s">
        <v>16</v>
      </c>
      <c r="B224" t="s">
        <v>22</v>
      </c>
      <c r="C224" t="s">
        <v>39</v>
      </c>
      <c r="D224" t="s">
        <v>167</v>
      </c>
      <c r="E224" t="s">
        <v>462</v>
      </c>
      <c r="F224" t="s">
        <v>1043</v>
      </c>
      <c r="H224" t="s">
        <v>1670</v>
      </c>
      <c r="I224" t="s">
        <v>1670</v>
      </c>
      <c r="J224" t="s">
        <v>1674</v>
      </c>
      <c r="K224">
        <v>1</v>
      </c>
      <c r="L224">
        <v>0</v>
      </c>
      <c r="M224">
        <v>1</v>
      </c>
      <c r="N224">
        <v>3</v>
      </c>
      <c r="O224">
        <v>0</v>
      </c>
      <c r="P224">
        <v>3</v>
      </c>
      <c r="Q224">
        <f>N224-K224</f>
        <v>2</v>
      </c>
      <c r="R224">
        <f>O224-L224</f>
        <v>0</v>
      </c>
      <c r="S224">
        <f>P224-M224</f>
        <v>2</v>
      </c>
      <c r="T224">
        <v>17</v>
      </c>
      <c r="U224" s="14">
        <v>151807.79</v>
      </c>
      <c r="V224" s="14">
        <v>171</v>
      </c>
      <c r="W224" s="16">
        <v>4.9065611526468984E-4</v>
      </c>
      <c r="X224" s="16">
        <v>3.0968611229834184E-4</v>
      </c>
    </row>
    <row r="225" spans="1:24" x14ac:dyDescent="0.2">
      <c r="A225" t="s">
        <v>14</v>
      </c>
      <c r="B225" s="35" t="s">
        <v>19</v>
      </c>
      <c r="C225" t="s">
        <v>42</v>
      </c>
      <c r="D225" t="s">
        <v>110</v>
      </c>
      <c r="E225" t="s">
        <v>351</v>
      </c>
      <c r="F225" t="s">
        <v>856</v>
      </c>
      <c r="H225" t="s">
        <v>1670</v>
      </c>
      <c r="I225" t="s">
        <v>1670</v>
      </c>
      <c r="J225" t="s">
        <v>1674</v>
      </c>
      <c r="K225">
        <v>6</v>
      </c>
      <c r="L225">
        <v>0</v>
      </c>
      <c r="M225">
        <v>6</v>
      </c>
      <c r="N225">
        <v>6</v>
      </c>
      <c r="O225">
        <v>0</v>
      </c>
      <c r="P225">
        <v>6</v>
      </c>
      <c r="Q225">
        <f>N225-K225</f>
        <v>0</v>
      </c>
      <c r="R225">
        <f>O225-L225</f>
        <v>0</v>
      </c>
      <c r="S225">
        <f>P225-M225</f>
        <v>0</v>
      </c>
      <c r="T225">
        <v>3</v>
      </c>
      <c r="U225" s="14">
        <v>150038.24</v>
      </c>
      <c r="V225" s="14">
        <v>630</v>
      </c>
      <c r="W225" s="16">
        <v>4.8493677419025194E-4</v>
      </c>
      <c r="X225" s="16">
        <v>1.1409488347833645E-3</v>
      </c>
    </row>
    <row r="226" spans="1:24" x14ac:dyDescent="0.2">
      <c r="A226" t="s">
        <v>16</v>
      </c>
      <c r="B226" t="s">
        <v>22</v>
      </c>
      <c r="C226" t="s">
        <v>39</v>
      </c>
      <c r="D226" t="s">
        <v>156</v>
      </c>
      <c r="E226" t="s">
        <v>436</v>
      </c>
      <c r="F226" t="s">
        <v>1369</v>
      </c>
      <c r="H226" t="s">
        <v>1670</v>
      </c>
      <c r="I226" t="s">
        <v>1670</v>
      </c>
      <c r="J226" t="s">
        <v>1673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f>N226-K226</f>
        <v>0</v>
      </c>
      <c r="R226">
        <f>O226-L226</f>
        <v>0</v>
      </c>
      <c r="S226">
        <f>P226-M226</f>
        <v>0</v>
      </c>
      <c r="T226">
        <v>29</v>
      </c>
      <c r="U226" s="14">
        <v>145323.41999999998</v>
      </c>
      <c r="V226" s="14">
        <v>361</v>
      </c>
      <c r="W226" s="16">
        <v>4.696980617014378E-4</v>
      </c>
      <c r="X226" s="16">
        <v>6.5378179262983273E-4</v>
      </c>
    </row>
    <row r="227" spans="1:24" x14ac:dyDescent="0.2">
      <c r="A227" t="s">
        <v>14</v>
      </c>
      <c r="B227" s="35" t="s">
        <v>19</v>
      </c>
      <c r="C227" t="s">
        <v>34</v>
      </c>
      <c r="D227" t="s">
        <v>116</v>
      </c>
      <c r="E227" t="s">
        <v>360</v>
      </c>
      <c r="F227" t="s">
        <v>866</v>
      </c>
      <c r="H227" t="s">
        <v>1670</v>
      </c>
      <c r="I227" t="s">
        <v>1670</v>
      </c>
      <c r="J227" t="s">
        <v>1674</v>
      </c>
      <c r="K227">
        <v>2</v>
      </c>
      <c r="L227">
        <v>0</v>
      </c>
      <c r="M227">
        <v>2</v>
      </c>
      <c r="N227">
        <v>2</v>
      </c>
      <c r="O227">
        <v>0</v>
      </c>
      <c r="P227">
        <v>2</v>
      </c>
      <c r="Q227">
        <f>N227-K227</f>
        <v>0</v>
      </c>
      <c r="R227">
        <f>O227-L227</f>
        <v>0</v>
      </c>
      <c r="S227">
        <f>P227-M227</f>
        <v>0</v>
      </c>
      <c r="T227">
        <v>19</v>
      </c>
      <c r="U227" s="14">
        <v>137343.88</v>
      </c>
      <c r="V227" s="14">
        <v>342</v>
      </c>
      <c r="W227" s="16">
        <v>4.4390748733105014E-4</v>
      </c>
      <c r="X227" s="16">
        <v>6.1937222459668368E-4</v>
      </c>
    </row>
    <row r="228" spans="1:24" x14ac:dyDescent="0.2">
      <c r="A228" t="s">
        <v>16</v>
      </c>
      <c r="B228" t="s">
        <v>22</v>
      </c>
      <c r="C228" t="s">
        <v>39</v>
      </c>
      <c r="D228" t="s">
        <v>106</v>
      </c>
      <c r="E228" t="s">
        <v>343</v>
      </c>
      <c r="F228" t="s">
        <v>1635</v>
      </c>
      <c r="H228" t="s">
        <v>1670</v>
      </c>
      <c r="I228" t="s">
        <v>1670</v>
      </c>
      <c r="J228" t="s">
        <v>1674</v>
      </c>
      <c r="K228">
        <v>0</v>
      </c>
      <c r="L228">
        <v>0</v>
      </c>
      <c r="M228">
        <v>0</v>
      </c>
      <c r="N228">
        <v>3</v>
      </c>
      <c r="O228">
        <v>0</v>
      </c>
      <c r="P228">
        <v>3</v>
      </c>
      <c r="Q228">
        <f>N228-K228</f>
        <v>3</v>
      </c>
      <c r="R228">
        <f>O228-L228</f>
        <v>0</v>
      </c>
      <c r="S228">
        <f>P228-M228</f>
        <v>3</v>
      </c>
      <c r="T228">
        <v>7</v>
      </c>
      <c r="U228" s="14">
        <v>133901.09</v>
      </c>
      <c r="V228" s="14">
        <v>211</v>
      </c>
      <c r="W228" s="16">
        <v>4.3278008756406766E-4</v>
      </c>
      <c r="X228" s="16">
        <v>3.8212730815760307E-4</v>
      </c>
    </row>
    <row r="229" spans="1:24" x14ac:dyDescent="0.2">
      <c r="A229" t="s">
        <v>14</v>
      </c>
      <c r="B229" s="35" t="s">
        <v>19</v>
      </c>
      <c r="C229" t="s">
        <v>42</v>
      </c>
      <c r="D229" t="s">
        <v>114</v>
      </c>
      <c r="E229" t="s">
        <v>641</v>
      </c>
      <c r="F229" t="s">
        <v>641</v>
      </c>
      <c r="H229" t="s">
        <v>1670</v>
      </c>
      <c r="I229" t="s">
        <v>1670</v>
      </c>
      <c r="J229" t="s">
        <v>1674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f>N229-K229</f>
        <v>0</v>
      </c>
      <c r="R229">
        <f>O229-L229</f>
        <v>0</v>
      </c>
      <c r="S229">
        <f>P229-M229</f>
        <v>0</v>
      </c>
      <c r="T229">
        <v>8</v>
      </c>
      <c r="U229" s="14">
        <v>127442.06</v>
      </c>
      <c r="V229" s="14">
        <v>585</v>
      </c>
      <c r="W229" s="16">
        <v>4.1190393510721359E-4</v>
      </c>
      <c r="X229" s="16">
        <v>1.0594524894416957E-3</v>
      </c>
    </row>
    <row r="230" spans="1:24" x14ac:dyDescent="0.2">
      <c r="A230" t="s">
        <v>16</v>
      </c>
      <c r="B230" t="s">
        <v>22</v>
      </c>
      <c r="C230" t="s">
        <v>39</v>
      </c>
      <c r="D230" t="s">
        <v>106</v>
      </c>
      <c r="E230" t="s">
        <v>452</v>
      </c>
      <c r="F230" t="s">
        <v>1029</v>
      </c>
      <c r="H230" t="s">
        <v>1670</v>
      </c>
      <c r="I230" t="s">
        <v>1670</v>
      </c>
      <c r="J230" t="s">
        <v>1674</v>
      </c>
      <c r="K230">
        <v>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f>N230-K230</f>
        <v>-1</v>
      </c>
      <c r="R230">
        <f>O230-L230</f>
        <v>0</v>
      </c>
      <c r="S230">
        <f>P230-M230</f>
        <v>-1</v>
      </c>
      <c r="T230">
        <v>40</v>
      </c>
      <c r="U230" s="14">
        <v>125740.57999999999</v>
      </c>
      <c r="V230" s="14">
        <v>136</v>
      </c>
      <c r="W230" s="16">
        <v>4.0640460225347422E-4</v>
      </c>
      <c r="X230" s="16">
        <v>2.4630006592148824E-4</v>
      </c>
    </row>
    <row r="231" spans="1:24" x14ac:dyDescent="0.2">
      <c r="A231" t="s">
        <v>13</v>
      </c>
      <c r="B231" t="s">
        <v>22</v>
      </c>
      <c r="C231" t="s">
        <v>40</v>
      </c>
      <c r="D231" t="s">
        <v>221</v>
      </c>
      <c r="E231" t="s">
        <v>650</v>
      </c>
      <c r="F231" t="s">
        <v>1530</v>
      </c>
      <c r="H231" t="s">
        <v>1670</v>
      </c>
      <c r="I231" t="s">
        <v>1670</v>
      </c>
      <c r="J231" t="s">
        <v>1673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2</v>
      </c>
      <c r="Q231">
        <f>N231-K231</f>
        <v>2</v>
      </c>
      <c r="R231">
        <f>O231-L231</f>
        <v>0</v>
      </c>
      <c r="S231">
        <f>P231-M231</f>
        <v>2</v>
      </c>
      <c r="T231">
        <v>8</v>
      </c>
      <c r="U231" s="14">
        <v>125609.98</v>
      </c>
      <c r="V231" s="14">
        <v>95</v>
      </c>
      <c r="W231" s="16">
        <v>4.0598249157882728E-4</v>
      </c>
      <c r="X231" s="16">
        <v>1.7204784016574545E-4</v>
      </c>
    </row>
    <row r="232" spans="1:24" x14ac:dyDescent="0.2">
      <c r="A232" t="s">
        <v>16</v>
      </c>
      <c r="B232" t="s">
        <v>22</v>
      </c>
      <c r="C232" t="s">
        <v>39</v>
      </c>
      <c r="D232" t="s">
        <v>156</v>
      </c>
      <c r="E232" t="s">
        <v>435</v>
      </c>
      <c r="F232" t="s">
        <v>1435</v>
      </c>
      <c r="H232" t="s">
        <v>1670</v>
      </c>
      <c r="I232" t="s">
        <v>1670</v>
      </c>
      <c r="J232" t="s">
        <v>1674</v>
      </c>
      <c r="K232">
        <v>0</v>
      </c>
      <c r="L232">
        <v>0</v>
      </c>
      <c r="M232">
        <v>0</v>
      </c>
      <c r="N232">
        <v>3</v>
      </c>
      <c r="O232">
        <v>0</v>
      </c>
      <c r="P232">
        <v>3</v>
      </c>
      <c r="Q232">
        <f>N232-K232</f>
        <v>3</v>
      </c>
      <c r="R232">
        <f>O232-L232</f>
        <v>0</v>
      </c>
      <c r="S232">
        <f>P232-M232</f>
        <v>3</v>
      </c>
      <c r="T232">
        <v>14</v>
      </c>
      <c r="U232" s="14">
        <v>123541.34</v>
      </c>
      <c r="V232" s="14">
        <v>203</v>
      </c>
      <c r="W232" s="16">
        <v>3.9929646534604202E-4</v>
      </c>
      <c r="X232" s="16">
        <v>3.6763906898575082E-4</v>
      </c>
    </row>
    <row r="233" spans="1:24" x14ac:dyDescent="0.2">
      <c r="A233" t="s">
        <v>16</v>
      </c>
      <c r="B233" t="s">
        <v>22</v>
      </c>
      <c r="C233" t="s">
        <v>39</v>
      </c>
      <c r="D233" t="s">
        <v>163</v>
      </c>
      <c r="E233" t="s">
        <v>458</v>
      </c>
      <c r="F233" t="s">
        <v>1039</v>
      </c>
      <c r="H233" t="s">
        <v>1670</v>
      </c>
      <c r="I233" t="s">
        <v>1670</v>
      </c>
      <c r="J233" t="s">
        <v>1674</v>
      </c>
      <c r="K233">
        <v>2</v>
      </c>
      <c r="L233">
        <v>0</v>
      </c>
      <c r="M233">
        <v>2</v>
      </c>
      <c r="N233">
        <v>2</v>
      </c>
      <c r="O233">
        <v>0</v>
      </c>
      <c r="P233">
        <v>2</v>
      </c>
      <c r="Q233">
        <f>N233-K233</f>
        <v>0</v>
      </c>
      <c r="R233">
        <f>O233-L233</f>
        <v>0</v>
      </c>
      <c r="S233">
        <f>P233-M233</f>
        <v>0</v>
      </c>
      <c r="T233">
        <v>10</v>
      </c>
      <c r="U233" s="14">
        <v>121459.67</v>
      </c>
      <c r="V233" s="14">
        <v>101</v>
      </c>
      <c r="W233" s="16">
        <v>3.9256832500842798E-4</v>
      </c>
      <c r="X233" s="16">
        <v>1.8291401954463463E-4</v>
      </c>
    </row>
    <row r="234" spans="1:24" x14ac:dyDescent="0.2">
      <c r="A234" t="s">
        <v>16</v>
      </c>
      <c r="B234" t="s">
        <v>22</v>
      </c>
      <c r="C234" t="s">
        <v>39</v>
      </c>
      <c r="D234" t="s">
        <v>212</v>
      </c>
      <c r="E234" t="s">
        <v>611</v>
      </c>
      <c r="F234" t="s">
        <v>1396</v>
      </c>
      <c r="H234" t="s">
        <v>1670</v>
      </c>
      <c r="I234" t="s">
        <v>1670</v>
      </c>
      <c r="J234" t="s">
        <v>1674</v>
      </c>
      <c r="K234">
        <v>0</v>
      </c>
      <c r="L234">
        <v>0</v>
      </c>
      <c r="M234">
        <v>0</v>
      </c>
      <c r="N234">
        <v>6</v>
      </c>
      <c r="O234">
        <v>0</v>
      </c>
      <c r="P234">
        <v>6</v>
      </c>
      <c r="Q234">
        <f>N234-K234</f>
        <v>6</v>
      </c>
      <c r="R234">
        <f>O234-L234</f>
        <v>0</v>
      </c>
      <c r="S234">
        <f>P234-M234</f>
        <v>6</v>
      </c>
      <c r="T234">
        <v>19</v>
      </c>
      <c r="U234" s="14">
        <v>119994.46999999999</v>
      </c>
      <c r="V234" s="14">
        <v>169</v>
      </c>
      <c r="W234" s="16">
        <v>3.8783266987448635E-4</v>
      </c>
      <c r="X234" s="16">
        <v>3.0606405250537878E-4</v>
      </c>
    </row>
    <row r="235" spans="1:24" x14ac:dyDescent="0.2">
      <c r="A235" t="s">
        <v>15</v>
      </c>
      <c r="B235" t="s">
        <v>24</v>
      </c>
      <c r="C235" t="s">
        <v>58</v>
      </c>
      <c r="D235" t="s">
        <v>150</v>
      </c>
      <c r="E235" t="s">
        <v>135</v>
      </c>
      <c r="F235" t="s">
        <v>1495</v>
      </c>
      <c r="G235" t="s">
        <v>1719</v>
      </c>
      <c r="H235" t="s">
        <v>1669</v>
      </c>
      <c r="I235" t="s">
        <v>1672</v>
      </c>
      <c r="J235" t="s">
        <v>1674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f>N235-K235</f>
        <v>0</v>
      </c>
      <c r="R235">
        <f>O235-L235</f>
        <v>0</v>
      </c>
      <c r="S235">
        <f>P235-M235</f>
        <v>0</v>
      </c>
      <c r="T235">
        <v>6</v>
      </c>
      <c r="U235" s="14">
        <v>911</v>
      </c>
      <c r="V235" s="14">
        <v>9</v>
      </c>
      <c r="W235" s="16">
        <v>2.9444320413737158E-6</v>
      </c>
      <c r="X235" s="16">
        <v>1.629926906833378E-5</v>
      </c>
    </row>
    <row r="236" spans="1:24" x14ac:dyDescent="0.2">
      <c r="A236" t="s">
        <v>14</v>
      </c>
      <c r="B236" s="35" t="s">
        <v>19</v>
      </c>
      <c r="C236" t="s">
        <v>42</v>
      </c>
      <c r="D236" t="s">
        <v>111</v>
      </c>
      <c r="E236" t="s">
        <v>354</v>
      </c>
      <c r="F236" t="s">
        <v>860</v>
      </c>
      <c r="H236" t="s">
        <v>1670</v>
      </c>
      <c r="I236" t="s">
        <v>1670</v>
      </c>
      <c r="J236" t="s">
        <v>1674</v>
      </c>
      <c r="K236">
        <v>6</v>
      </c>
      <c r="L236">
        <v>0</v>
      </c>
      <c r="M236">
        <v>6</v>
      </c>
      <c r="N236">
        <v>6</v>
      </c>
      <c r="O236">
        <v>0</v>
      </c>
      <c r="P236">
        <v>6</v>
      </c>
      <c r="Q236">
        <f>N236-K236</f>
        <v>0</v>
      </c>
      <c r="R236">
        <f>O236-L236</f>
        <v>0</v>
      </c>
      <c r="S236">
        <f>P236-M236</f>
        <v>0</v>
      </c>
      <c r="T236">
        <v>15</v>
      </c>
      <c r="U236" s="14">
        <v>119082.20999999999</v>
      </c>
      <c r="V236" s="14">
        <v>484</v>
      </c>
      <c r="W236" s="16">
        <v>3.848841654024078E-4</v>
      </c>
      <c r="X236" s="16">
        <v>8.765384698970611E-4</v>
      </c>
    </row>
    <row r="237" spans="1:24" x14ac:dyDescent="0.2">
      <c r="A237" t="s">
        <v>16</v>
      </c>
      <c r="B237" t="s">
        <v>22</v>
      </c>
      <c r="C237" t="s">
        <v>39</v>
      </c>
      <c r="D237" t="s">
        <v>106</v>
      </c>
      <c r="E237" t="s">
        <v>600</v>
      </c>
      <c r="F237" s="10" t="s">
        <v>1360</v>
      </c>
      <c r="G237" s="10"/>
      <c r="H237" t="s">
        <v>1670</v>
      </c>
      <c r="I237" t="s">
        <v>1670</v>
      </c>
      <c r="J237" t="s">
        <v>1674</v>
      </c>
      <c r="K237">
        <v>0</v>
      </c>
      <c r="L237">
        <v>0</v>
      </c>
      <c r="M237">
        <v>0</v>
      </c>
      <c r="N237">
        <v>25</v>
      </c>
      <c r="O237">
        <v>0</v>
      </c>
      <c r="P237">
        <v>25</v>
      </c>
      <c r="Q237">
        <f>N237-K237</f>
        <v>25</v>
      </c>
      <c r="R237">
        <f>O237-L237</f>
        <v>0</v>
      </c>
      <c r="S237">
        <f>P237-M237</f>
        <v>25</v>
      </c>
      <c r="T237">
        <v>77</v>
      </c>
      <c r="U237" s="14">
        <v>116577.95999999998</v>
      </c>
      <c r="V237" s="14">
        <v>1087</v>
      </c>
      <c r="W237" s="16">
        <v>3.7679020937649103E-4</v>
      </c>
      <c r="X237" s="16">
        <v>1.9685894974754243E-3</v>
      </c>
    </row>
    <row r="238" spans="1:24" x14ac:dyDescent="0.2">
      <c r="A238" t="s">
        <v>16</v>
      </c>
      <c r="B238" t="s">
        <v>22</v>
      </c>
      <c r="C238" t="s">
        <v>39</v>
      </c>
      <c r="D238" t="s">
        <v>165</v>
      </c>
      <c r="E238" t="s">
        <v>460</v>
      </c>
      <c r="F238" t="s">
        <v>1376</v>
      </c>
      <c r="H238" t="s">
        <v>1670</v>
      </c>
      <c r="I238" t="s">
        <v>1671</v>
      </c>
      <c r="J238" t="s">
        <v>1674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2</v>
      </c>
      <c r="Q238">
        <f>N238-K238</f>
        <v>2</v>
      </c>
      <c r="R238">
        <f>O238-L238</f>
        <v>0</v>
      </c>
      <c r="S238">
        <f>P238-M238</f>
        <v>2</v>
      </c>
      <c r="T238">
        <v>35</v>
      </c>
      <c r="U238" s="14">
        <v>115445.2</v>
      </c>
      <c r="V238" s="14">
        <v>310</v>
      </c>
      <c r="W238" s="16">
        <v>3.7312902953106139E-4</v>
      </c>
      <c r="X238" s="16">
        <v>5.6141926790927469E-4</v>
      </c>
    </row>
    <row r="239" spans="1:24" x14ac:dyDescent="0.2">
      <c r="A239" t="s">
        <v>17</v>
      </c>
      <c r="B239" s="35" t="s">
        <v>19</v>
      </c>
      <c r="C239" t="s">
        <v>52</v>
      </c>
      <c r="D239" t="s">
        <v>140</v>
      </c>
      <c r="E239" t="s">
        <v>510</v>
      </c>
      <c r="F239" t="s">
        <v>1127</v>
      </c>
      <c r="H239" t="s">
        <v>1670</v>
      </c>
      <c r="I239" t="s">
        <v>1670</v>
      </c>
      <c r="J239" t="s">
        <v>1674</v>
      </c>
      <c r="K239">
        <v>4</v>
      </c>
      <c r="L239">
        <v>0</v>
      </c>
      <c r="M239">
        <v>4</v>
      </c>
      <c r="N239">
        <v>4</v>
      </c>
      <c r="O239">
        <v>0</v>
      </c>
      <c r="P239">
        <v>4</v>
      </c>
      <c r="Q239">
        <f>N239-K239</f>
        <v>0</v>
      </c>
      <c r="R239">
        <f>O239-L239</f>
        <v>0</v>
      </c>
      <c r="S239">
        <f>P239-M239</f>
        <v>0</v>
      </c>
      <c r="T239">
        <v>36</v>
      </c>
      <c r="U239" s="14">
        <v>115358.24999999999</v>
      </c>
      <c r="V239" s="14">
        <v>305</v>
      </c>
      <c r="W239" s="16">
        <v>3.7284799949154713E-4</v>
      </c>
      <c r="X239" s="16">
        <v>5.5236411842686701E-4</v>
      </c>
    </row>
    <row r="240" spans="1:24" x14ac:dyDescent="0.2">
      <c r="A240" t="s">
        <v>13</v>
      </c>
      <c r="B240" t="s">
        <v>22</v>
      </c>
      <c r="C240" t="s">
        <v>37</v>
      </c>
      <c r="D240" t="s">
        <v>99</v>
      </c>
      <c r="E240" t="s">
        <v>640</v>
      </c>
      <c r="F240" t="s">
        <v>1487</v>
      </c>
      <c r="H240" t="s">
        <v>1670</v>
      </c>
      <c r="I240" t="s">
        <v>1670</v>
      </c>
      <c r="J240" t="s">
        <v>1674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f>N240-K240</f>
        <v>0</v>
      </c>
      <c r="R240">
        <f>O240-L240</f>
        <v>0</v>
      </c>
      <c r="S240">
        <f>P240-M240</f>
        <v>0</v>
      </c>
      <c r="T240">
        <v>47</v>
      </c>
      <c r="U240" s="14">
        <v>111802.90999999999</v>
      </c>
      <c r="V240" s="14">
        <v>95</v>
      </c>
      <c r="W240" s="16">
        <v>3.6135682823580878E-4</v>
      </c>
      <c r="X240" s="16">
        <v>1.7204784016574545E-4</v>
      </c>
    </row>
    <row r="241" spans="1:24" x14ac:dyDescent="0.2">
      <c r="A241" t="s">
        <v>14</v>
      </c>
      <c r="B241" s="35" t="s">
        <v>19</v>
      </c>
      <c r="C241" t="s">
        <v>48</v>
      </c>
      <c r="D241" t="s">
        <v>131</v>
      </c>
      <c r="E241" t="s">
        <v>374</v>
      </c>
      <c r="F241" t="s">
        <v>894</v>
      </c>
      <c r="H241" t="s">
        <v>1670</v>
      </c>
      <c r="I241" t="s">
        <v>1670</v>
      </c>
      <c r="J241" t="s">
        <v>1674</v>
      </c>
      <c r="K241">
        <v>5</v>
      </c>
      <c r="L241">
        <v>0</v>
      </c>
      <c r="M241">
        <v>5</v>
      </c>
      <c r="N241">
        <v>5</v>
      </c>
      <c r="O241">
        <v>0</v>
      </c>
      <c r="P241">
        <v>5</v>
      </c>
      <c r="Q241">
        <f>N241-K241</f>
        <v>0</v>
      </c>
      <c r="R241">
        <f>O241-L241</f>
        <v>0</v>
      </c>
      <c r="S241">
        <f>P241-M241</f>
        <v>0</v>
      </c>
      <c r="T241">
        <v>4</v>
      </c>
      <c r="U241" s="14">
        <v>108237.04</v>
      </c>
      <c r="V241" s="14">
        <v>256</v>
      </c>
      <c r="W241" s="16">
        <v>3.4983162309489409E-4</v>
      </c>
      <c r="X241" s="16">
        <v>4.6362365349927198E-4</v>
      </c>
    </row>
    <row r="242" spans="1:24" x14ac:dyDescent="0.2">
      <c r="A242" t="s">
        <v>16</v>
      </c>
      <c r="B242" t="s">
        <v>22</v>
      </c>
      <c r="C242" t="s">
        <v>39</v>
      </c>
      <c r="D242" t="s">
        <v>156</v>
      </c>
      <c r="E242" t="s">
        <v>437</v>
      </c>
      <c r="F242" t="s">
        <v>1001</v>
      </c>
      <c r="H242" t="s">
        <v>1670</v>
      </c>
      <c r="I242" t="s">
        <v>1670</v>
      </c>
      <c r="J242" t="s">
        <v>1674</v>
      </c>
      <c r="K242">
        <v>1</v>
      </c>
      <c r="L242">
        <v>0</v>
      </c>
      <c r="M242">
        <v>1</v>
      </c>
      <c r="N242">
        <v>3</v>
      </c>
      <c r="O242">
        <v>0</v>
      </c>
      <c r="P242">
        <v>3</v>
      </c>
      <c r="Q242">
        <f>N242-K242</f>
        <v>2</v>
      </c>
      <c r="R242">
        <f>O242-L242</f>
        <v>0</v>
      </c>
      <c r="S242">
        <f>P242-M242</f>
        <v>2</v>
      </c>
      <c r="T242">
        <v>28</v>
      </c>
      <c r="U242" s="14">
        <v>107183.37</v>
      </c>
      <c r="V242" s="14">
        <v>257</v>
      </c>
      <c r="W242" s="16">
        <v>3.4642606907839111E-4</v>
      </c>
      <c r="X242" s="16">
        <v>4.6543468339575348E-4</v>
      </c>
    </row>
    <row r="243" spans="1:24" x14ac:dyDescent="0.2">
      <c r="A243" t="s">
        <v>14</v>
      </c>
      <c r="B243" s="35" t="s">
        <v>19</v>
      </c>
      <c r="C243" t="s">
        <v>42</v>
      </c>
      <c r="D243" t="s">
        <v>112</v>
      </c>
      <c r="E243" t="s">
        <v>355</v>
      </c>
      <c r="F243" t="s">
        <v>355</v>
      </c>
      <c r="H243" t="s">
        <v>1670</v>
      </c>
      <c r="I243" t="s">
        <v>1670</v>
      </c>
      <c r="J243" t="s">
        <v>1674</v>
      </c>
      <c r="K243">
        <v>7</v>
      </c>
      <c r="L243">
        <v>0</v>
      </c>
      <c r="M243">
        <v>7</v>
      </c>
      <c r="N243">
        <v>7</v>
      </c>
      <c r="O243">
        <v>0</v>
      </c>
      <c r="P243">
        <v>7</v>
      </c>
      <c r="Q243">
        <f>N243-K243</f>
        <v>0</v>
      </c>
      <c r="R243">
        <f>O243-L243</f>
        <v>0</v>
      </c>
      <c r="S243">
        <f>P243-M243</f>
        <v>0</v>
      </c>
      <c r="T243">
        <v>10</v>
      </c>
      <c r="U243" s="14">
        <v>106755.26</v>
      </c>
      <c r="V243" s="14">
        <v>401</v>
      </c>
      <c r="W243" s="16">
        <v>3.4504237994421714E-4</v>
      </c>
      <c r="X243" s="16">
        <v>7.2622298848909396E-4</v>
      </c>
    </row>
    <row r="244" spans="1:24" x14ac:dyDescent="0.2">
      <c r="A244" t="s">
        <v>16</v>
      </c>
      <c r="B244" t="s">
        <v>22</v>
      </c>
      <c r="C244" t="s">
        <v>39</v>
      </c>
      <c r="D244" t="s">
        <v>212</v>
      </c>
      <c r="E244" t="s">
        <v>628</v>
      </c>
      <c r="F244" t="s">
        <v>1451</v>
      </c>
      <c r="H244" t="s">
        <v>1670</v>
      </c>
      <c r="I244" t="s">
        <v>1670</v>
      </c>
      <c r="J244" t="s">
        <v>1674</v>
      </c>
      <c r="K244">
        <v>0</v>
      </c>
      <c r="L244">
        <v>0</v>
      </c>
      <c r="M244">
        <v>0</v>
      </c>
      <c r="N244">
        <v>10</v>
      </c>
      <c r="O244">
        <v>0</v>
      </c>
      <c r="P244">
        <v>10</v>
      </c>
      <c r="Q244">
        <f>N244-K244</f>
        <v>10</v>
      </c>
      <c r="R244">
        <f>O244-L244</f>
        <v>0</v>
      </c>
      <c r="S244">
        <f>P244-M244</f>
        <v>10</v>
      </c>
      <c r="T244">
        <v>16</v>
      </c>
      <c r="U244" s="14">
        <v>103066.36000000002</v>
      </c>
      <c r="V244" s="14">
        <v>396</v>
      </c>
      <c r="W244" s="16">
        <v>3.3311953103376329E-4</v>
      </c>
      <c r="X244" s="16">
        <v>7.1716783900668628E-4</v>
      </c>
    </row>
    <row r="245" spans="1:24" x14ac:dyDescent="0.2">
      <c r="A245" t="s">
        <v>16</v>
      </c>
      <c r="B245" t="s">
        <v>22</v>
      </c>
      <c r="C245" t="s">
        <v>39</v>
      </c>
      <c r="D245" t="s">
        <v>160</v>
      </c>
      <c r="E245" t="s">
        <v>449</v>
      </c>
      <c r="F245" t="s">
        <v>1585</v>
      </c>
      <c r="H245" t="s">
        <v>1669</v>
      </c>
      <c r="I245" t="s">
        <v>1670</v>
      </c>
      <c r="J245" t="s">
        <v>1674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2</v>
      </c>
      <c r="Q245">
        <f>N245-K245</f>
        <v>2</v>
      </c>
      <c r="R245">
        <f>O245-L245</f>
        <v>0</v>
      </c>
      <c r="S245">
        <f>P245-M245</f>
        <v>2</v>
      </c>
      <c r="T245">
        <v>7</v>
      </c>
      <c r="U245" s="14">
        <v>37690.58</v>
      </c>
      <c r="V245" s="14">
        <v>32</v>
      </c>
      <c r="W245" s="16">
        <v>1.2181926609216175E-4</v>
      </c>
      <c r="X245" s="16">
        <v>5.7952956687408997E-5</v>
      </c>
    </row>
    <row r="246" spans="1:24" x14ac:dyDescent="0.2">
      <c r="A246" t="s">
        <v>13</v>
      </c>
      <c r="B246" t="s">
        <v>20</v>
      </c>
      <c r="C246" t="s">
        <v>33</v>
      </c>
      <c r="D246" t="s">
        <v>84</v>
      </c>
      <c r="E246" t="s">
        <v>674</v>
      </c>
      <c r="F246" t="s">
        <v>1591</v>
      </c>
      <c r="G246" t="s">
        <v>1719</v>
      </c>
      <c r="H246" t="s">
        <v>1669</v>
      </c>
      <c r="I246" t="s">
        <v>1672</v>
      </c>
      <c r="J246" t="s">
        <v>1674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f>N246-K246</f>
        <v>0</v>
      </c>
      <c r="R246">
        <f>O246-L246</f>
        <v>0</v>
      </c>
      <c r="S246">
        <f>P246-M246</f>
        <v>0</v>
      </c>
      <c r="T246">
        <v>0</v>
      </c>
      <c r="U246" s="14">
        <v>0</v>
      </c>
      <c r="V246" s="14">
        <v>0</v>
      </c>
      <c r="W246" s="16">
        <v>0</v>
      </c>
      <c r="X246" s="16">
        <v>0</v>
      </c>
    </row>
    <row r="247" spans="1:24" x14ac:dyDescent="0.2">
      <c r="A247" t="s">
        <v>16</v>
      </c>
      <c r="B247" t="s">
        <v>22</v>
      </c>
      <c r="C247" t="s">
        <v>39</v>
      </c>
      <c r="D247" t="s">
        <v>166</v>
      </c>
      <c r="E247" t="s">
        <v>639</v>
      </c>
      <c r="F247" t="s">
        <v>1479</v>
      </c>
      <c r="H247" t="s">
        <v>1670</v>
      </c>
      <c r="I247" t="s">
        <v>1670</v>
      </c>
      <c r="J247" t="s">
        <v>1674</v>
      </c>
      <c r="K247">
        <v>0</v>
      </c>
      <c r="L247">
        <v>0</v>
      </c>
      <c r="M247">
        <v>0</v>
      </c>
      <c r="N247">
        <v>6</v>
      </c>
      <c r="O247">
        <v>0</v>
      </c>
      <c r="P247">
        <v>6</v>
      </c>
      <c r="Q247">
        <f>N247-K247</f>
        <v>6</v>
      </c>
      <c r="R247">
        <f>O247-L247</f>
        <v>0</v>
      </c>
      <c r="S247">
        <f>P247-M247</f>
        <v>6</v>
      </c>
      <c r="T247">
        <v>33</v>
      </c>
      <c r="U247" s="14">
        <v>99598.77</v>
      </c>
      <c r="V247" s="14">
        <v>148</v>
      </c>
      <c r="W247" s="16">
        <v>3.2191197548782791E-4</v>
      </c>
      <c r="X247" s="16">
        <v>2.680324246792666E-4</v>
      </c>
    </row>
    <row r="248" spans="1:24" x14ac:dyDescent="0.2">
      <c r="A248" t="s">
        <v>13</v>
      </c>
      <c r="B248" t="s">
        <v>20</v>
      </c>
      <c r="C248" t="s">
        <v>33</v>
      </c>
      <c r="D248" t="s">
        <v>87</v>
      </c>
      <c r="E248" t="s">
        <v>297</v>
      </c>
      <c r="F248" t="s">
        <v>1595</v>
      </c>
      <c r="H248" t="s">
        <v>1669</v>
      </c>
      <c r="I248" t="s">
        <v>1670</v>
      </c>
      <c r="J248" t="s">
        <v>1674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2</v>
      </c>
      <c r="Q248">
        <f>N248-K248</f>
        <v>2</v>
      </c>
      <c r="R248">
        <f>O248-L248</f>
        <v>0</v>
      </c>
      <c r="S248">
        <f>P248-M248</f>
        <v>2</v>
      </c>
      <c r="T248">
        <v>8</v>
      </c>
      <c r="U248" s="14">
        <v>34057</v>
      </c>
      <c r="V248" s="14">
        <v>9</v>
      </c>
      <c r="W248" s="16">
        <v>1.1007521628217853E-4</v>
      </c>
      <c r="X248" s="16">
        <v>1.629926906833378E-5</v>
      </c>
    </row>
    <row r="249" spans="1:24" x14ac:dyDescent="0.2">
      <c r="A249" t="s">
        <v>16</v>
      </c>
      <c r="B249" t="s">
        <v>22</v>
      </c>
      <c r="C249" t="s">
        <v>39</v>
      </c>
      <c r="D249" t="s">
        <v>163</v>
      </c>
      <c r="E249" t="s">
        <v>458</v>
      </c>
      <c r="F249" t="s">
        <v>1512</v>
      </c>
      <c r="H249" t="s">
        <v>1670</v>
      </c>
      <c r="I249" t="s">
        <v>1670</v>
      </c>
      <c r="J249" t="s">
        <v>1674</v>
      </c>
      <c r="K249">
        <v>0</v>
      </c>
      <c r="L249">
        <v>0</v>
      </c>
      <c r="M249">
        <v>0</v>
      </c>
      <c r="N249">
        <v>5</v>
      </c>
      <c r="O249">
        <v>0</v>
      </c>
      <c r="P249">
        <v>5</v>
      </c>
      <c r="Q249">
        <f>N249-K249</f>
        <v>5</v>
      </c>
      <c r="R249">
        <f>O249-L249</f>
        <v>0</v>
      </c>
      <c r="S249">
        <f>P249-M249</f>
        <v>5</v>
      </c>
      <c r="T249">
        <v>24</v>
      </c>
      <c r="U249" s="14">
        <v>96527.7</v>
      </c>
      <c r="V249" s="14">
        <v>157</v>
      </c>
      <c r="W249" s="16">
        <v>3.1198600742053748E-4</v>
      </c>
      <c r="X249" s="16">
        <v>2.8433169374760041E-4</v>
      </c>
    </row>
    <row r="250" spans="1:24" x14ac:dyDescent="0.2">
      <c r="A250" t="s">
        <v>17</v>
      </c>
      <c r="B250" t="s">
        <v>23</v>
      </c>
      <c r="C250" t="s">
        <v>60</v>
      </c>
      <c r="D250" t="s">
        <v>173</v>
      </c>
      <c r="E250" t="s">
        <v>476</v>
      </c>
      <c r="F250" t="s">
        <v>1607</v>
      </c>
      <c r="H250" t="s">
        <v>1669</v>
      </c>
      <c r="I250" t="s">
        <v>1671</v>
      </c>
      <c r="J250" t="s">
        <v>1674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2</v>
      </c>
      <c r="Q250">
        <f>N250-K250</f>
        <v>2</v>
      </c>
      <c r="R250">
        <f>O250-L250</f>
        <v>0</v>
      </c>
      <c r="S250">
        <f>P250-M250</f>
        <v>2</v>
      </c>
      <c r="T250">
        <v>2</v>
      </c>
      <c r="U250" s="14">
        <v>15967.15</v>
      </c>
      <c r="V250" s="14">
        <v>32</v>
      </c>
      <c r="W250" s="16">
        <v>5.1607231689813753E-5</v>
      </c>
      <c r="X250" s="16">
        <v>5.7952956687408997E-5</v>
      </c>
    </row>
    <row r="251" spans="1:24" x14ac:dyDescent="0.2">
      <c r="A251" t="s">
        <v>12</v>
      </c>
      <c r="B251" t="s">
        <v>19</v>
      </c>
      <c r="C251" t="s">
        <v>28</v>
      </c>
      <c r="D251" t="s">
        <v>75</v>
      </c>
      <c r="E251" t="s">
        <v>691</v>
      </c>
      <c r="F251" t="s">
        <v>691</v>
      </c>
      <c r="G251" t="s">
        <v>1719</v>
      </c>
      <c r="H251" t="s">
        <v>1669</v>
      </c>
      <c r="I251" t="s">
        <v>1671</v>
      </c>
      <c r="J251" t="s">
        <v>1674</v>
      </c>
      <c r="K251">
        <v>0</v>
      </c>
      <c r="L251">
        <v>0</v>
      </c>
      <c r="M251">
        <v>0</v>
      </c>
      <c r="N251">
        <v>2</v>
      </c>
      <c r="O251">
        <v>0</v>
      </c>
      <c r="P251">
        <v>2</v>
      </c>
      <c r="Q251">
        <f>N251-K251</f>
        <v>2</v>
      </c>
      <c r="R251">
        <f>O251-L251</f>
        <v>0</v>
      </c>
      <c r="S251">
        <f>P251-M251</f>
        <v>2</v>
      </c>
      <c r="T251">
        <v>0</v>
      </c>
      <c r="U251" s="14">
        <v>0</v>
      </c>
      <c r="V251" s="14">
        <v>0</v>
      </c>
      <c r="W251" s="16">
        <v>0</v>
      </c>
      <c r="X251" s="16">
        <v>0</v>
      </c>
    </row>
    <row r="252" spans="1:24" x14ac:dyDescent="0.2">
      <c r="A252" t="s">
        <v>13</v>
      </c>
      <c r="B252" t="s">
        <v>22</v>
      </c>
      <c r="C252" t="s">
        <v>46</v>
      </c>
      <c r="D252" t="s">
        <v>223</v>
      </c>
      <c r="E252" t="s">
        <v>653</v>
      </c>
      <c r="F252" t="s">
        <v>1639</v>
      </c>
      <c r="H252" t="s">
        <v>1670</v>
      </c>
      <c r="I252" t="s">
        <v>1671</v>
      </c>
      <c r="J252" t="s">
        <v>1674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f>N252-K252</f>
        <v>0</v>
      </c>
      <c r="R252">
        <f>O252-L252</f>
        <v>0</v>
      </c>
      <c r="S252">
        <f>P252-M252</f>
        <v>0</v>
      </c>
      <c r="T252">
        <v>24</v>
      </c>
      <c r="U252" s="14">
        <v>93201.75</v>
      </c>
      <c r="V252" s="14">
        <v>220</v>
      </c>
      <c r="W252" s="16">
        <v>3.0123624479923462E-4</v>
      </c>
      <c r="X252" s="16">
        <v>3.9842657722593687E-4</v>
      </c>
    </row>
    <row r="253" spans="1:24" x14ac:dyDescent="0.2">
      <c r="A253" t="s">
        <v>16</v>
      </c>
      <c r="B253" s="2" t="s">
        <v>22</v>
      </c>
      <c r="C253" s="2" t="s">
        <v>39</v>
      </c>
      <c r="D253" s="2" t="s">
        <v>157</v>
      </c>
      <c r="E253" s="2" t="s">
        <v>442</v>
      </c>
      <c r="F253" s="2" t="s">
        <v>1689</v>
      </c>
      <c r="G253" s="2"/>
      <c r="H253" t="s">
        <v>1669</v>
      </c>
      <c r="I253" s="3">
        <v>0</v>
      </c>
      <c r="J253" t="s">
        <v>1674</v>
      </c>
      <c r="K253">
        <v>1</v>
      </c>
      <c r="L253">
        <v>0</v>
      </c>
      <c r="M253">
        <v>1</v>
      </c>
      <c r="N253">
        <v>3</v>
      </c>
      <c r="O253">
        <v>0</v>
      </c>
      <c r="P253">
        <v>3</v>
      </c>
      <c r="Q253">
        <f>N253-K253</f>
        <v>2</v>
      </c>
      <c r="R253">
        <f>O253-L253</f>
        <v>0</v>
      </c>
      <c r="S253">
        <f>P253-M253</f>
        <v>2</v>
      </c>
      <c r="T253">
        <v>0</v>
      </c>
      <c r="U253" s="14">
        <v>0</v>
      </c>
      <c r="V253" s="14">
        <v>0</v>
      </c>
      <c r="W253" s="16">
        <v>0</v>
      </c>
      <c r="X253" s="16">
        <v>0</v>
      </c>
    </row>
    <row r="254" spans="1:24" x14ac:dyDescent="0.2">
      <c r="A254" t="s">
        <v>13</v>
      </c>
      <c r="B254" s="2" t="s">
        <v>22</v>
      </c>
      <c r="C254" s="2" t="s">
        <v>36</v>
      </c>
      <c r="D254" s="2" t="s">
        <v>92</v>
      </c>
      <c r="E254" s="2" t="s">
        <v>692</v>
      </c>
      <c r="F254" s="2" t="s">
        <v>1690</v>
      </c>
      <c r="G254" s="2"/>
      <c r="H254" t="s">
        <v>1669</v>
      </c>
      <c r="I254" s="3">
        <v>0</v>
      </c>
      <c r="J254" t="s">
        <v>1674</v>
      </c>
      <c r="K254">
        <v>1</v>
      </c>
      <c r="L254">
        <v>0</v>
      </c>
      <c r="M254">
        <v>1</v>
      </c>
      <c r="N254">
        <v>3</v>
      </c>
      <c r="O254">
        <v>0</v>
      </c>
      <c r="P254">
        <v>3</v>
      </c>
      <c r="Q254">
        <f>N254-K254</f>
        <v>2</v>
      </c>
      <c r="R254">
        <f>O254-L254</f>
        <v>0</v>
      </c>
      <c r="S254">
        <f>P254-M254</f>
        <v>2</v>
      </c>
      <c r="T254">
        <v>28</v>
      </c>
      <c r="U254" s="14">
        <v>34856.19</v>
      </c>
      <c r="V254" s="14">
        <v>126</v>
      </c>
      <c r="W254" s="16">
        <v>1.1265826857981352E-4</v>
      </c>
      <c r="X254" s="16">
        <v>2.2818976695667293E-4</v>
      </c>
    </row>
    <row r="255" spans="1:24" x14ac:dyDescent="0.2">
      <c r="A255" t="s">
        <v>12</v>
      </c>
      <c r="B255" t="s">
        <v>18</v>
      </c>
      <c r="C255" t="s">
        <v>32</v>
      </c>
      <c r="D255" t="s">
        <v>83</v>
      </c>
      <c r="E255" t="s">
        <v>287</v>
      </c>
      <c r="F255" t="s">
        <v>741</v>
      </c>
      <c r="H255" t="s">
        <v>1669</v>
      </c>
      <c r="I255" t="s">
        <v>1670</v>
      </c>
      <c r="J255" t="s">
        <v>1674</v>
      </c>
      <c r="K255">
        <v>1</v>
      </c>
      <c r="L255">
        <v>1</v>
      </c>
      <c r="M255">
        <v>2</v>
      </c>
      <c r="N255">
        <v>4</v>
      </c>
      <c r="O255">
        <v>0</v>
      </c>
      <c r="P255">
        <v>4</v>
      </c>
      <c r="Q255">
        <f>N255-K255</f>
        <v>3</v>
      </c>
      <c r="R255">
        <f>O255-L255</f>
        <v>-1</v>
      </c>
      <c r="S255">
        <f>P255-M255</f>
        <v>2</v>
      </c>
      <c r="T255">
        <v>149</v>
      </c>
      <c r="U255" s="14">
        <v>984387.08999999985</v>
      </c>
      <c r="V255" s="14">
        <v>2371</v>
      </c>
      <c r="W255" s="16">
        <v>3.1816255641170486E-3</v>
      </c>
      <c r="X255" s="16">
        <v>4.2939518845577099E-3</v>
      </c>
    </row>
    <row r="256" spans="1:24" x14ac:dyDescent="0.2">
      <c r="A256" t="s">
        <v>17</v>
      </c>
      <c r="B256" t="s">
        <v>23</v>
      </c>
      <c r="C256" t="s">
        <v>61</v>
      </c>
      <c r="D256" t="s">
        <v>187</v>
      </c>
      <c r="E256" t="s">
        <v>530</v>
      </c>
      <c r="F256" t="s">
        <v>1157</v>
      </c>
      <c r="H256" t="s">
        <v>1669</v>
      </c>
      <c r="I256" t="s">
        <v>1671</v>
      </c>
      <c r="J256" t="s">
        <v>1674</v>
      </c>
      <c r="K256">
        <v>0</v>
      </c>
      <c r="L256">
        <v>1</v>
      </c>
      <c r="M256">
        <v>1</v>
      </c>
      <c r="N256">
        <v>3</v>
      </c>
      <c r="O256">
        <v>0</v>
      </c>
      <c r="P256">
        <v>3</v>
      </c>
      <c r="Q256">
        <f>N256-K256</f>
        <v>3</v>
      </c>
      <c r="R256">
        <f>O256-L256</f>
        <v>-1</v>
      </c>
      <c r="S256">
        <f>P256-M256</f>
        <v>2</v>
      </c>
      <c r="T256">
        <v>7</v>
      </c>
      <c r="U256" s="14">
        <v>2932.87</v>
      </c>
      <c r="V256" s="14">
        <v>37</v>
      </c>
      <c r="W256" s="16">
        <v>9.4792935248998139E-6</v>
      </c>
      <c r="X256" s="16">
        <v>6.7008106169816651E-5</v>
      </c>
    </row>
    <row r="257" spans="1:24" x14ac:dyDescent="0.2">
      <c r="A257" t="s">
        <v>12</v>
      </c>
      <c r="B257" t="s">
        <v>18</v>
      </c>
      <c r="C257" t="s">
        <v>32</v>
      </c>
      <c r="D257" t="s">
        <v>83</v>
      </c>
      <c r="E257" t="s">
        <v>285</v>
      </c>
      <c r="F257" t="s">
        <v>1197</v>
      </c>
      <c r="H257" t="s">
        <v>1669</v>
      </c>
      <c r="I257" t="s">
        <v>1671</v>
      </c>
      <c r="J257" t="s">
        <v>1674</v>
      </c>
      <c r="K257">
        <v>0</v>
      </c>
      <c r="L257">
        <v>1</v>
      </c>
      <c r="M257">
        <v>1</v>
      </c>
      <c r="N257">
        <v>3</v>
      </c>
      <c r="O257">
        <v>0</v>
      </c>
      <c r="P257">
        <v>3</v>
      </c>
      <c r="Q257">
        <f>N257-K257</f>
        <v>3</v>
      </c>
      <c r="R257">
        <f>O257-L257</f>
        <v>-1</v>
      </c>
      <c r="S257">
        <f>P257-M257</f>
        <v>2</v>
      </c>
      <c r="T257">
        <v>213</v>
      </c>
      <c r="U257" s="14">
        <v>808785.59000000008</v>
      </c>
      <c r="V257" s="14">
        <v>1881</v>
      </c>
      <c r="W257" s="16">
        <v>2.6140660875931345E-3</v>
      </c>
      <c r="X257" s="16">
        <v>3.40654723528176E-3</v>
      </c>
    </row>
    <row r="258" spans="1:24" x14ac:dyDescent="0.2">
      <c r="A258" t="s">
        <v>12</v>
      </c>
      <c r="B258" t="s">
        <v>18</v>
      </c>
      <c r="C258" t="s">
        <v>32</v>
      </c>
      <c r="D258" t="s">
        <v>83</v>
      </c>
      <c r="E258" t="s">
        <v>562</v>
      </c>
      <c r="F258" t="s">
        <v>562</v>
      </c>
      <c r="G258" t="s">
        <v>1719</v>
      </c>
      <c r="H258" t="s">
        <v>1669</v>
      </c>
      <c r="I258" t="s">
        <v>1671</v>
      </c>
      <c r="J258" t="s">
        <v>1674</v>
      </c>
      <c r="K258">
        <v>0</v>
      </c>
      <c r="L258">
        <v>1</v>
      </c>
      <c r="M258">
        <v>1</v>
      </c>
      <c r="N258">
        <v>3</v>
      </c>
      <c r="O258">
        <v>0</v>
      </c>
      <c r="P258">
        <v>3</v>
      </c>
      <c r="Q258">
        <f>N258-K258</f>
        <v>3</v>
      </c>
      <c r="R258">
        <f>O258-L258</f>
        <v>-1</v>
      </c>
      <c r="S258">
        <f>P258-M258</f>
        <v>2</v>
      </c>
      <c r="T258">
        <v>17</v>
      </c>
      <c r="U258" s="14">
        <v>410050.98999999993</v>
      </c>
      <c r="V258" s="14">
        <v>337</v>
      </c>
      <c r="W258" s="16">
        <v>1.3253208271712547E-3</v>
      </c>
      <c r="X258" s="16">
        <v>6.10317075114276E-4</v>
      </c>
    </row>
    <row r="259" spans="1:24" x14ac:dyDescent="0.2">
      <c r="A259" t="s">
        <v>12</v>
      </c>
      <c r="B259" t="s">
        <v>18</v>
      </c>
      <c r="C259" t="s">
        <v>32</v>
      </c>
      <c r="D259" t="s">
        <v>83</v>
      </c>
      <c r="E259" t="s">
        <v>287</v>
      </c>
      <c r="F259" t="s">
        <v>1262</v>
      </c>
      <c r="H259" t="s">
        <v>1669</v>
      </c>
      <c r="I259" t="s">
        <v>1671</v>
      </c>
      <c r="J259" t="s">
        <v>1674</v>
      </c>
      <c r="K259">
        <v>0</v>
      </c>
      <c r="L259">
        <v>1</v>
      </c>
      <c r="M259">
        <v>1</v>
      </c>
      <c r="N259">
        <v>3</v>
      </c>
      <c r="O259">
        <v>0</v>
      </c>
      <c r="P259">
        <v>3</v>
      </c>
      <c r="Q259">
        <f>N259-K259</f>
        <v>3</v>
      </c>
      <c r="R259">
        <f>O259-L259</f>
        <v>-1</v>
      </c>
      <c r="S259">
        <f>P259-M259</f>
        <v>2</v>
      </c>
      <c r="T259">
        <v>34</v>
      </c>
      <c r="U259" s="14">
        <v>126169.85999999999</v>
      </c>
      <c r="V259" s="14">
        <v>260</v>
      </c>
      <c r="W259" s="16">
        <v>4.0779207293044557E-4</v>
      </c>
      <c r="X259" s="16">
        <v>4.708677730851981E-4</v>
      </c>
    </row>
    <row r="260" spans="1:24" x14ac:dyDescent="0.2">
      <c r="A260" t="s">
        <v>17</v>
      </c>
      <c r="B260" t="s">
        <v>23</v>
      </c>
      <c r="C260" t="s">
        <v>61</v>
      </c>
      <c r="D260" t="s">
        <v>196</v>
      </c>
      <c r="E260" t="s">
        <v>545</v>
      </c>
      <c r="F260" t="s">
        <v>1194</v>
      </c>
      <c r="H260" t="s">
        <v>1669</v>
      </c>
      <c r="I260" t="s">
        <v>1671</v>
      </c>
      <c r="J260" t="s">
        <v>1674</v>
      </c>
      <c r="K260">
        <v>0</v>
      </c>
      <c r="L260">
        <v>2</v>
      </c>
      <c r="M260">
        <v>2</v>
      </c>
      <c r="N260">
        <v>4</v>
      </c>
      <c r="O260">
        <v>0</v>
      </c>
      <c r="P260">
        <v>4</v>
      </c>
      <c r="Q260">
        <f>N260-K260</f>
        <v>4</v>
      </c>
      <c r="R260">
        <f>O260-L260</f>
        <v>-2</v>
      </c>
      <c r="S260">
        <f>P260-M260</f>
        <v>2</v>
      </c>
      <c r="T260">
        <v>5</v>
      </c>
      <c r="U260" s="14">
        <v>13440.880000000001</v>
      </c>
      <c r="V260" s="14">
        <v>62</v>
      </c>
      <c r="W260" s="16">
        <v>4.3442105089197756E-5</v>
      </c>
      <c r="X260" s="16">
        <v>1.1228385358185493E-4</v>
      </c>
    </row>
    <row r="261" spans="1:24" x14ac:dyDescent="0.2">
      <c r="A261" t="s">
        <v>12</v>
      </c>
      <c r="B261" t="s">
        <v>18</v>
      </c>
      <c r="C261" t="s">
        <v>26</v>
      </c>
      <c r="D261" t="s">
        <v>64</v>
      </c>
      <c r="E261" t="s">
        <v>243</v>
      </c>
      <c r="F261" t="s">
        <v>243</v>
      </c>
      <c r="H261" t="s">
        <v>1669</v>
      </c>
      <c r="I261" t="s">
        <v>1670</v>
      </c>
      <c r="J261" t="s">
        <v>1674</v>
      </c>
      <c r="K261">
        <v>6</v>
      </c>
      <c r="L261">
        <v>0</v>
      </c>
      <c r="M261">
        <v>6</v>
      </c>
      <c r="N261">
        <v>5</v>
      </c>
      <c r="O261">
        <v>2</v>
      </c>
      <c r="P261">
        <v>7</v>
      </c>
      <c r="Q261">
        <f>N261-K261</f>
        <v>-1</v>
      </c>
      <c r="R261">
        <f>O261-L261</f>
        <v>2</v>
      </c>
      <c r="S261">
        <f>P261-M261</f>
        <v>1</v>
      </c>
      <c r="T261">
        <v>280</v>
      </c>
      <c r="U261" s="14">
        <v>2691510.7399999988</v>
      </c>
      <c r="V261" s="14">
        <v>4220</v>
      </c>
      <c r="W261" s="16">
        <v>8.6991991905131481E-3</v>
      </c>
      <c r="X261" s="16">
        <v>7.6425461631520614E-3</v>
      </c>
    </row>
    <row r="262" spans="1:24" x14ac:dyDescent="0.2">
      <c r="A262" t="s">
        <v>15</v>
      </c>
      <c r="B262" t="s">
        <v>24</v>
      </c>
      <c r="C262" t="s">
        <v>58</v>
      </c>
      <c r="D262" t="s">
        <v>150</v>
      </c>
      <c r="E262" t="s">
        <v>135</v>
      </c>
      <c r="F262" t="s">
        <v>968</v>
      </c>
      <c r="H262" t="s">
        <v>1669</v>
      </c>
      <c r="I262" t="s">
        <v>1671</v>
      </c>
      <c r="J262" t="s">
        <v>1674</v>
      </c>
      <c r="K262">
        <v>4</v>
      </c>
      <c r="L262">
        <v>1</v>
      </c>
      <c r="M262">
        <v>5</v>
      </c>
      <c r="N262">
        <v>4</v>
      </c>
      <c r="O262">
        <v>2</v>
      </c>
      <c r="P262">
        <v>6</v>
      </c>
      <c r="Q262">
        <f>N262-K262</f>
        <v>0</v>
      </c>
      <c r="R262">
        <f>O262-L262</f>
        <v>1</v>
      </c>
      <c r="S262">
        <f>P262-M262</f>
        <v>1</v>
      </c>
      <c r="T262">
        <v>26</v>
      </c>
      <c r="U262" s="14">
        <v>44482.860000000015</v>
      </c>
      <c r="V262" s="14">
        <v>340</v>
      </c>
      <c r="W262" s="16">
        <v>1.4377251182869511E-4</v>
      </c>
      <c r="X262" s="16">
        <v>6.1575016480372056E-4</v>
      </c>
    </row>
    <row r="263" spans="1:24" x14ac:dyDescent="0.2">
      <c r="A263" t="s">
        <v>15</v>
      </c>
      <c r="B263" t="s">
        <v>24</v>
      </c>
      <c r="C263" t="s">
        <v>58</v>
      </c>
      <c r="D263" t="s">
        <v>150</v>
      </c>
      <c r="E263" t="s">
        <v>425</v>
      </c>
      <c r="F263" t="s">
        <v>970</v>
      </c>
      <c r="H263" t="s">
        <v>1669</v>
      </c>
      <c r="I263" t="s">
        <v>1670</v>
      </c>
      <c r="J263" t="s">
        <v>1674</v>
      </c>
      <c r="K263">
        <v>8</v>
      </c>
      <c r="L263">
        <v>1</v>
      </c>
      <c r="M263">
        <v>9</v>
      </c>
      <c r="N263">
        <v>8</v>
      </c>
      <c r="O263">
        <v>2</v>
      </c>
      <c r="P263">
        <v>10</v>
      </c>
      <c r="Q263">
        <f>N263-K263</f>
        <v>0</v>
      </c>
      <c r="R263">
        <f>O263-L263</f>
        <v>1</v>
      </c>
      <c r="S263">
        <f>P263-M263</f>
        <v>1</v>
      </c>
      <c r="T263">
        <v>42</v>
      </c>
      <c r="U263" s="14">
        <v>49199.47</v>
      </c>
      <c r="V263" s="14">
        <v>371</v>
      </c>
      <c r="W263" s="16">
        <v>1.5901700975478036E-4</v>
      </c>
      <c r="X263" s="16">
        <v>6.718920915946481E-4</v>
      </c>
    </row>
    <row r="264" spans="1:24" x14ac:dyDescent="0.2">
      <c r="A264" t="s">
        <v>13</v>
      </c>
      <c r="B264" t="s">
        <v>22</v>
      </c>
      <c r="C264" t="s">
        <v>31</v>
      </c>
      <c r="D264" t="s">
        <v>94</v>
      </c>
      <c r="E264" t="s">
        <v>323</v>
      </c>
      <c r="F264" t="s">
        <v>1134</v>
      </c>
      <c r="H264" t="s">
        <v>1669</v>
      </c>
      <c r="I264" t="s">
        <v>1670</v>
      </c>
      <c r="J264" t="s">
        <v>1674</v>
      </c>
      <c r="K264">
        <v>0</v>
      </c>
      <c r="L264">
        <v>1</v>
      </c>
      <c r="M264">
        <v>1</v>
      </c>
      <c r="N264">
        <v>0</v>
      </c>
      <c r="O264">
        <v>2</v>
      </c>
      <c r="P264">
        <v>2</v>
      </c>
      <c r="Q264">
        <f>N264-K264</f>
        <v>0</v>
      </c>
      <c r="R264">
        <f>O264-L264</f>
        <v>1</v>
      </c>
      <c r="S264">
        <f>P264-M264</f>
        <v>1</v>
      </c>
      <c r="T264">
        <v>1</v>
      </c>
      <c r="U264" s="14">
        <v>611.49</v>
      </c>
      <c r="V264" s="14">
        <v>17</v>
      </c>
      <c r="W264" s="16">
        <v>1.976389406124713E-6</v>
      </c>
      <c r="X264" s="16">
        <v>3.0787508240186029E-5</v>
      </c>
    </row>
    <row r="265" spans="1:24" x14ac:dyDescent="0.2">
      <c r="A265" t="s">
        <v>16</v>
      </c>
      <c r="B265" t="s">
        <v>22</v>
      </c>
      <c r="C265" t="s">
        <v>39</v>
      </c>
      <c r="D265" t="s">
        <v>155</v>
      </c>
      <c r="E265" t="s">
        <v>444</v>
      </c>
      <c r="F265" t="s">
        <v>1138</v>
      </c>
      <c r="H265" t="s">
        <v>1669</v>
      </c>
      <c r="I265" t="s">
        <v>1670</v>
      </c>
      <c r="J265" t="s">
        <v>1674</v>
      </c>
      <c r="K265">
        <v>0</v>
      </c>
      <c r="L265">
        <v>5</v>
      </c>
      <c r="M265">
        <v>5</v>
      </c>
      <c r="N265">
        <v>0</v>
      </c>
      <c r="O265">
        <v>6</v>
      </c>
      <c r="P265">
        <v>6</v>
      </c>
      <c r="Q265">
        <f>N265-K265</f>
        <v>0</v>
      </c>
      <c r="R265">
        <f>O265-L265</f>
        <v>1</v>
      </c>
      <c r="S265">
        <f>P265-M265</f>
        <v>1</v>
      </c>
      <c r="T265">
        <v>65</v>
      </c>
      <c r="U265" s="14">
        <v>288126.31</v>
      </c>
      <c r="V265" s="14">
        <v>1045</v>
      </c>
      <c r="W265" s="16">
        <v>9.3124954898658188E-4</v>
      </c>
      <c r="X265" s="16">
        <v>1.8925262418232E-3</v>
      </c>
    </row>
    <row r="266" spans="1:24" x14ac:dyDescent="0.2">
      <c r="A266" t="s">
        <v>16</v>
      </c>
      <c r="B266" t="s">
        <v>22</v>
      </c>
      <c r="C266" t="s">
        <v>39</v>
      </c>
      <c r="D266" t="s">
        <v>155</v>
      </c>
      <c r="E266" t="s">
        <v>524</v>
      </c>
      <c r="F266" t="s">
        <v>1151</v>
      </c>
      <c r="H266" t="s">
        <v>1669</v>
      </c>
      <c r="I266" t="s">
        <v>1670</v>
      </c>
      <c r="J266" t="s">
        <v>1674</v>
      </c>
      <c r="K266">
        <v>0</v>
      </c>
      <c r="L266">
        <v>1</v>
      </c>
      <c r="M266">
        <v>1</v>
      </c>
      <c r="N266">
        <v>0</v>
      </c>
      <c r="O266">
        <v>2</v>
      </c>
      <c r="P266">
        <v>2</v>
      </c>
      <c r="Q266">
        <f>N266-K266</f>
        <v>0</v>
      </c>
      <c r="R266">
        <f>O266-L266</f>
        <v>1</v>
      </c>
      <c r="S266">
        <f>P266-M266</f>
        <v>1</v>
      </c>
      <c r="T266">
        <v>10</v>
      </c>
      <c r="U266" s="14">
        <v>17380.300000000003</v>
      </c>
      <c r="V266" s="14">
        <v>50</v>
      </c>
      <c r="W266" s="16">
        <v>5.6174656650590126E-5</v>
      </c>
      <c r="X266" s="16">
        <v>9.0551494824076551E-5</v>
      </c>
    </row>
    <row r="267" spans="1:24" x14ac:dyDescent="0.2">
      <c r="A267" t="s">
        <v>14</v>
      </c>
      <c r="B267" s="1" t="s">
        <v>19</v>
      </c>
      <c r="C267" s="2" t="s">
        <v>48</v>
      </c>
      <c r="D267" s="2" t="s">
        <v>131</v>
      </c>
      <c r="E267" s="2" t="s">
        <v>535</v>
      </c>
      <c r="F267" s="2" t="s">
        <v>1676</v>
      </c>
      <c r="G267" s="2"/>
      <c r="H267" t="s">
        <v>1669</v>
      </c>
      <c r="I267" s="3">
        <v>0</v>
      </c>
      <c r="J267" t="s">
        <v>1674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2</v>
      </c>
      <c r="Q267">
        <f>N267-K267</f>
        <v>0</v>
      </c>
      <c r="R267">
        <f>O267-L267</f>
        <v>1</v>
      </c>
      <c r="S267">
        <f>P267-M267</f>
        <v>1</v>
      </c>
      <c r="T267">
        <v>3</v>
      </c>
      <c r="U267" s="14">
        <v>2941.44</v>
      </c>
      <c r="V267" s="14">
        <v>16</v>
      </c>
      <c r="W267" s="16">
        <v>9.5069925178686091E-6</v>
      </c>
      <c r="X267" s="16">
        <v>2.8976478343704499E-5</v>
      </c>
    </row>
    <row r="268" spans="1:24" x14ac:dyDescent="0.2">
      <c r="A268" t="s">
        <v>14</v>
      </c>
      <c r="B268" s="1" t="s">
        <v>19</v>
      </c>
      <c r="C268" s="2" t="s">
        <v>48</v>
      </c>
      <c r="D268" s="2" t="s">
        <v>132</v>
      </c>
      <c r="E268" s="2" t="s">
        <v>539</v>
      </c>
      <c r="F268" s="2" t="s">
        <v>1677</v>
      </c>
      <c r="G268" s="2"/>
      <c r="H268" t="s">
        <v>1669</v>
      </c>
      <c r="I268" s="3">
        <v>0</v>
      </c>
      <c r="J268" t="s">
        <v>1674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2</v>
      </c>
      <c r="Q268">
        <f>N268-K268</f>
        <v>0</v>
      </c>
      <c r="R268">
        <f>O268-L268</f>
        <v>1</v>
      </c>
      <c r="S268">
        <f>P268-M268</f>
        <v>1</v>
      </c>
      <c r="T268">
        <v>23</v>
      </c>
      <c r="U268" s="14">
        <v>19580.86</v>
      </c>
      <c r="V268" s="14">
        <v>128</v>
      </c>
      <c r="W268" s="16">
        <v>6.3287059913998844E-5</v>
      </c>
      <c r="X268" s="16">
        <v>2.3181182674963599E-4</v>
      </c>
    </row>
    <row r="269" spans="1:24" x14ac:dyDescent="0.2">
      <c r="A269" t="s">
        <v>14</v>
      </c>
      <c r="B269" s="1" t="s">
        <v>19</v>
      </c>
      <c r="C269" s="2" t="s">
        <v>48</v>
      </c>
      <c r="D269" s="2" t="s">
        <v>131</v>
      </c>
      <c r="E269" s="2" t="s">
        <v>518</v>
      </c>
      <c r="F269" s="2" t="s">
        <v>1679</v>
      </c>
      <c r="G269" s="2"/>
      <c r="H269" t="s">
        <v>1669</v>
      </c>
      <c r="I269" s="3">
        <v>0</v>
      </c>
      <c r="J269" t="s">
        <v>1674</v>
      </c>
      <c r="K269">
        <v>1</v>
      </c>
      <c r="L269">
        <v>0</v>
      </c>
      <c r="M269">
        <v>1</v>
      </c>
      <c r="N269">
        <v>1</v>
      </c>
      <c r="O269">
        <v>1</v>
      </c>
      <c r="P269">
        <v>2</v>
      </c>
      <c r="Q269">
        <f>N269-K269</f>
        <v>0</v>
      </c>
      <c r="R269">
        <f>O269-L269</f>
        <v>1</v>
      </c>
      <c r="S269">
        <f>P269-M269</f>
        <v>1</v>
      </c>
      <c r="T269">
        <v>0</v>
      </c>
      <c r="U269" s="14">
        <v>0</v>
      </c>
      <c r="V269" s="14">
        <v>0</v>
      </c>
      <c r="W269" s="16">
        <v>0</v>
      </c>
      <c r="X269" s="16">
        <v>0</v>
      </c>
    </row>
    <row r="270" spans="1:24" x14ac:dyDescent="0.2">
      <c r="A270" t="s">
        <v>14</v>
      </c>
      <c r="B270" s="1" t="s">
        <v>19</v>
      </c>
      <c r="C270" s="2" t="s">
        <v>48</v>
      </c>
      <c r="D270" s="2" t="s">
        <v>131</v>
      </c>
      <c r="E270" s="2" t="s">
        <v>518</v>
      </c>
      <c r="F270" s="2" t="s">
        <v>1680</v>
      </c>
      <c r="G270" s="2"/>
      <c r="H270" t="s">
        <v>1669</v>
      </c>
      <c r="I270" s="3">
        <v>0</v>
      </c>
      <c r="J270" t="s">
        <v>1674</v>
      </c>
      <c r="K270">
        <v>1</v>
      </c>
      <c r="L270">
        <v>0</v>
      </c>
      <c r="M270">
        <v>1</v>
      </c>
      <c r="N270">
        <v>1</v>
      </c>
      <c r="O270">
        <v>1</v>
      </c>
      <c r="P270">
        <v>2</v>
      </c>
      <c r="Q270">
        <f>N270-K270</f>
        <v>0</v>
      </c>
      <c r="R270">
        <f>O270-L270</f>
        <v>1</v>
      </c>
      <c r="S270">
        <f>P270-M270</f>
        <v>1</v>
      </c>
      <c r="T270">
        <v>1</v>
      </c>
      <c r="U270" s="14">
        <v>4777.8500000000004</v>
      </c>
      <c r="V270" s="14">
        <v>16</v>
      </c>
      <c r="W270" s="16">
        <v>1.5442430986693097E-5</v>
      </c>
      <c r="X270" s="16">
        <v>2.8976478343704499E-5</v>
      </c>
    </row>
    <row r="271" spans="1:24" x14ac:dyDescent="0.2">
      <c r="A271" t="s">
        <v>12</v>
      </c>
      <c r="B271" t="s">
        <v>18</v>
      </c>
      <c r="C271" t="s">
        <v>26</v>
      </c>
      <c r="D271" t="s">
        <v>63</v>
      </c>
      <c r="E271" t="s">
        <v>230</v>
      </c>
      <c r="F271" t="s">
        <v>230</v>
      </c>
      <c r="H271" t="s">
        <v>1669</v>
      </c>
      <c r="I271" t="s">
        <v>1670</v>
      </c>
      <c r="J271" t="s">
        <v>1674</v>
      </c>
      <c r="K271">
        <v>3</v>
      </c>
      <c r="L271">
        <v>0</v>
      </c>
      <c r="M271">
        <v>3</v>
      </c>
      <c r="N271">
        <v>4</v>
      </c>
      <c r="O271">
        <v>0</v>
      </c>
      <c r="P271">
        <v>4</v>
      </c>
      <c r="Q271">
        <f>N271-K271</f>
        <v>1</v>
      </c>
      <c r="R271">
        <f>O271-L271</f>
        <v>0</v>
      </c>
      <c r="S271">
        <f>P271-M271</f>
        <v>1</v>
      </c>
      <c r="T271">
        <v>0</v>
      </c>
      <c r="U271" s="14">
        <v>0</v>
      </c>
      <c r="V271" s="14">
        <v>0</v>
      </c>
      <c r="W271" s="16">
        <v>0</v>
      </c>
      <c r="X271" s="16">
        <v>0</v>
      </c>
    </row>
    <row r="272" spans="1:24" x14ac:dyDescent="0.2">
      <c r="A272" t="s">
        <v>12</v>
      </c>
      <c r="B272" t="s">
        <v>19</v>
      </c>
      <c r="C272" t="s">
        <v>28</v>
      </c>
      <c r="D272" t="s">
        <v>72</v>
      </c>
      <c r="E272" t="s">
        <v>264</v>
      </c>
      <c r="F272" t="s">
        <v>717</v>
      </c>
      <c r="H272" t="s">
        <v>1669</v>
      </c>
      <c r="I272" t="s">
        <v>1670</v>
      </c>
      <c r="J272" t="s">
        <v>1674</v>
      </c>
      <c r="K272">
        <v>1</v>
      </c>
      <c r="L272">
        <v>1</v>
      </c>
      <c r="M272">
        <v>2</v>
      </c>
      <c r="N272">
        <v>2</v>
      </c>
      <c r="O272">
        <v>1</v>
      </c>
      <c r="P272">
        <v>3</v>
      </c>
      <c r="Q272">
        <f>N272-K272</f>
        <v>1</v>
      </c>
      <c r="R272">
        <f>O272-L272</f>
        <v>0</v>
      </c>
      <c r="S272">
        <f>P272-M272</f>
        <v>1</v>
      </c>
      <c r="T272">
        <v>27</v>
      </c>
      <c r="U272" s="14">
        <v>116783.08</v>
      </c>
      <c r="V272" s="14">
        <v>238</v>
      </c>
      <c r="W272" s="16">
        <v>3.7745317523854007E-4</v>
      </c>
      <c r="X272" s="16">
        <v>4.3102511536260443E-4</v>
      </c>
    </row>
    <row r="273" spans="1:24" x14ac:dyDescent="0.2">
      <c r="A273" t="s">
        <v>13</v>
      </c>
      <c r="B273" t="s">
        <v>20</v>
      </c>
      <c r="C273" t="s">
        <v>33</v>
      </c>
      <c r="D273" t="s">
        <v>87</v>
      </c>
      <c r="E273" t="s">
        <v>298</v>
      </c>
      <c r="F273" t="s">
        <v>775</v>
      </c>
      <c r="H273" t="s">
        <v>1669</v>
      </c>
      <c r="I273" t="s">
        <v>1670</v>
      </c>
      <c r="J273" t="s">
        <v>1674</v>
      </c>
      <c r="K273">
        <v>1</v>
      </c>
      <c r="L273">
        <v>0</v>
      </c>
      <c r="M273">
        <v>1</v>
      </c>
      <c r="N273">
        <v>2</v>
      </c>
      <c r="O273">
        <v>0</v>
      </c>
      <c r="P273">
        <v>2</v>
      </c>
      <c r="Q273">
        <f>N273-K273</f>
        <v>1</v>
      </c>
      <c r="R273">
        <f>O273-L273</f>
        <v>0</v>
      </c>
      <c r="S273">
        <f>P273-M273</f>
        <v>1</v>
      </c>
      <c r="T273">
        <v>5</v>
      </c>
      <c r="U273" s="14">
        <v>65555.570000000007</v>
      </c>
      <c r="V273" s="14">
        <v>12</v>
      </c>
      <c r="W273" s="16">
        <v>2.1188136201813124E-4</v>
      </c>
      <c r="X273" s="16">
        <v>2.1732358757778372E-5</v>
      </c>
    </row>
    <row r="274" spans="1:24" x14ac:dyDescent="0.2">
      <c r="A274" t="s">
        <v>13</v>
      </c>
      <c r="B274" t="s">
        <v>20</v>
      </c>
      <c r="C274" t="s">
        <v>33</v>
      </c>
      <c r="D274" t="s">
        <v>87</v>
      </c>
      <c r="E274" t="s">
        <v>298</v>
      </c>
      <c r="F274" t="s">
        <v>777</v>
      </c>
      <c r="H274" t="s">
        <v>1669</v>
      </c>
      <c r="I274" t="s">
        <v>1670</v>
      </c>
      <c r="J274" t="s">
        <v>1674</v>
      </c>
      <c r="K274">
        <v>1</v>
      </c>
      <c r="L274">
        <v>0</v>
      </c>
      <c r="M274">
        <v>1</v>
      </c>
      <c r="N274">
        <v>2</v>
      </c>
      <c r="O274">
        <v>0</v>
      </c>
      <c r="P274">
        <v>2</v>
      </c>
      <c r="Q274">
        <f>N274-K274</f>
        <v>1</v>
      </c>
      <c r="R274">
        <f>O274-L274</f>
        <v>0</v>
      </c>
      <c r="S274">
        <f>P274-M274</f>
        <v>1</v>
      </c>
      <c r="T274">
        <v>0</v>
      </c>
      <c r="U274" s="14">
        <v>0</v>
      </c>
      <c r="V274" s="14">
        <v>0</v>
      </c>
      <c r="W274" s="16">
        <v>0</v>
      </c>
      <c r="X274" s="16">
        <v>0</v>
      </c>
    </row>
    <row r="275" spans="1:24" x14ac:dyDescent="0.2">
      <c r="A275" t="s">
        <v>13</v>
      </c>
      <c r="B275" t="s">
        <v>20</v>
      </c>
      <c r="C275" t="s">
        <v>33</v>
      </c>
      <c r="D275" t="s">
        <v>87</v>
      </c>
      <c r="E275" t="s">
        <v>298</v>
      </c>
      <c r="F275" t="s">
        <v>781</v>
      </c>
      <c r="H275" t="s">
        <v>1669</v>
      </c>
      <c r="I275" t="s">
        <v>1670</v>
      </c>
      <c r="J275" t="s">
        <v>1674</v>
      </c>
      <c r="K275">
        <v>1</v>
      </c>
      <c r="L275">
        <v>0</v>
      </c>
      <c r="M275">
        <v>1</v>
      </c>
      <c r="N275">
        <v>2</v>
      </c>
      <c r="O275">
        <v>0</v>
      </c>
      <c r="P275">
        <v>2</v>
      </c>
      <c r="Q275">
        <f>N275-K275</f>
        <v>1</v>
      </c>
      <c r="R275">
        <f>O275-L275</f>
        <v>0</v>
      </c>
      <c r="S275">
        <f>P275-M275</f>
        <v>1</v>
      </c>
      <c r="T275">
        <v>17</v>
      </c>
      <c r="U275" s="14">
        <v>164387.99</v>
      </c>
      <c r="V275" s="14">
        <v>39</v>
      </c>
      <c r="W275" s="16">
        <v>5.313164269736795E-4</v>
      </c>
      <c r="X275" s="16">
        <v>7.0630165962779713E-5</v>
      </c>
    </row>
    <row r="276" spans="1:24" x14ac:dyDescent="0.2">
      <c r="A276" t="s">
        <v>13</v>
      </c>
      <c r="B276" t="s">
        <v>20</v>
      </c>
      <c r="C276" t="s">
        <v>33</v>
      </c>
      <c r="D276" t="s">
        <v>87</v>
      </c>
      <c r="E276" t="s">
        <v>299</v>
      </c>
      <c r="F276" t="s">
        <v>784</v>
      </c>
      <c r="H276" t="s">
        <v>1669</v>
      </c>
      <c r="I276" t="s">
        <v>1670</v>
      </c>
      <c r="J276" t="s">
        <v>1674</v>
      </c>
      <c r="K276">
        <v>1</v>
      </c>
      <c r="L276">
        <v>0</v>
      </c>
      <c r="M276">
        <v>1</v>
      </c>
      <c r="N276">
        <v>2</v>
      </c>
      <c r="O276">
        <v>0</v>
      </c>
      <c r="P276">
        <v>2</v>
      </c>
      <c r="Q276">
        <f>N276-K276</f>
        <v>1</v>
      </c>
      <c r="R276">
        <f>O276-L276</f>
        <v>0</v>
      </c>
      <c r="S276">
        <f>P276-M276</f>
        <v>1</v>
      </c>
      <c r="T276">
        <v>3</v>
      </c>
      <c r="U276" s="14">
        <v>90144</v>
      </c>
      <c r="V276" s="14">
        <v>10</v>
      </c>
      <c r="W276" s="16">
        <v>2.9135332814225274E-4</v>
      </c>
      <c r="X276" s="16">
        <v>1.8110298964815311E-5</v>
      </c>
    </row>
    <row r="277" spans="1:24" x14ac:dyDescent="0.2">
      <c r="A277" t="s">
        <v>13</v>
      </c>
      <c r="B277" t="s">
        <v>20</v>
      </c>
      <c r="C277" t="s">
        <v>33</v>
      </c>
      <c r="D277" t="s">
        <v>88</v>
      </c>
      <c r="E277" t="s">
        <v>301</v>
      </c>
      <c r="F277" t="s">
        <v>790</v>
      </c>
      <c r="H277" t="s">
        <v>1669</v>
      </c>
      <c r="I277" t="s">
        <v>1670</v>
      </c>
      <c r="J277" t="s">
        <v>1674</v>
      </c>
      <c r="K277">
        <v>7</v>
      </c>
      <c r="L277">
        <v>1</v>
      </c>
      <c r="M277">
        <v>8</v>
      </c>
      <c r="N277">
        <v>8</v>
      </c>
      <c r="O277">
        <v>1</v>
      </c>
      <c r="P277">
        <v>9</v>
      </c>
      <c r="Q277">
        <f>N277-K277</f>
        <v>1</v>
      </c>
      <c r="R277">
        <f>O277-L277</f>
        <v>0</v>
      </c>
      <c r="S277">
        <f>P277-M277</f>
        <v>1</v>
      </c>
      <c r="T277">
        <v>18</v>
      </c>
      <c r="U277" s="14">
        <v>45640.350000000006</v>
      </c>
      <c r="V277" s="14">
        <v>41</v>
      </c>
      <c r="W277" s="16">
        <v>1.4751362120692745E-4</v>
      </c>
      <c r="X277" s="16">
        <v>7.4252225755742774E-5</v>
      </c>
    </row>
    <row r="278" spans="1:24" x14ac:dyDescent="0.2">
      <c r="A278" t="s">
        <v>13</v>
      </c>
      <c r="B278" t="s">
        <v>22</v>
      </c>
      <c r="C278" t="s">
        <v>36</v>
      </c>
      <c r="D278" t="s">
        <v>89</v>
      </c>
      <c r="E278" t="s">
        <v>307</v>
      </c>
      <c r="F278" t="s">
        <v>803</v>
      </c>
      <c r="H278" t="s">
        <v>1669</v>
      </c>
      <c r="I278" t="s">
        <v>1670</v>
      </c>
      <c r="J278" t="s">
        <v>1674</v>
      </c>
      <c r="K278">
        <v>2</v>
      </c>
      <c r="L278">
        <v>0</v>
      </c>
      <c r="M278">
        <v>2</v>
      </c>
      <c r="N278">
        <v>3</v>
      </c>
      <c r="O278">
        <v>0</v>
      </c>
      <c r="P278">
        <v>3</v>
      </c>
      <c r="Q278">
        <f>N278-K278</f>
        <v>1</v>
      </c>
      <c r="R278">
        <f>O278-L278</f>
        <v>0</v>
      </c>
      <c r="S278">
        <f>P278-M278</f>
        <v>1</v>
      </c>
      <c r="T278">
        <v>5</v>
      </c>
      <c r="U278" s="14">
        <v>20321.86</v>
      </c>
      <c r="V278" s="14">
        <v>34</v>
      </c>
      <c r="W278" s="16">
        <v>6.5682037019002053E-5</v>
      </c>
      <c r="X278" s="16">
        <v>6.1575016480372059E-5</v>
      </c>
    </row>
    <row r="279" spans="1:24" x14ac:dyDescent="0.2">
      <c r="A279" t="s">
        <v>13</v>
      </c>
      <c r="B279" t="s">
        <v>22</v>
      </c>
      <c r="C279" t="s">
        <v>36</v>
      </c>
      <c r="D279" t="s">
        <v>90</v>
      </c>
      <c r="E279" t="s">
        <v>310</v>
      </c>
      <c r="F279" t="s">
        <v>806</v>
      </c>
      <c r="H279" t="s">
        <v>1669</v>
      </c>
      <c r="I279" t="s">
        <v>1670</v>
      </c>
      <c r="J279" t="s">
        <v>1674</v>
      </c>
      <c r="K279">
        <v>1</v>
      </c>
      <c r="L279">
        <v>0</v>
      </c>
      <c r="M279">
        <v>1</v>
      </c>
      <c r="N279">
        <v>2</v>
      </c>
      <c r="O279">
        <v>0</v>
      </c>
      <c r="P279">
        <v>2</v>
      </c>
      <c r="Q279">
        <f>N279-K279</f>
        <v>1</v>
      </c>
      <c r="R279">
        <f>O279-L279</f>
        <v>0</v>
      </c>
      <c r="S279">
        <f>P279-M279</f>
        <v>1</v>
      </c>
      <c r="T279">
        <v>1</v>
      </c>
      <c r="U279" s="14">
        <v>1547</v>
      </c>
      <c r="V279" s="14">
        <v>3</v>
      </c>
      <c r="W279" s="16">
        <v>5.0000399209716124E-6</v>
      </c>
      <c r="X279" s="16">
        <v>5.4330896894445931E-6</v>
      </c>
    </row>
    <row r="280" spans="1:24" x14ac:dyDescent="0.2">
      <c r="A280" t="s">
        <v>13</v>
      </c>
      <c r="B280" t="s">
        <v>20</v>
      </c>
      <c r="C280" t="s">
        <v>31</v>
      </c>
      <c r="D280" t="s">
        <v>82</v>
      </c>
      <c r="E280" t="s">
        <v>317</v>
      </c>
      <c r="F280" t="s">
        <v>819</v>
      </c>
      <c r="H280" t="s">
        <v>1669</v>
      </c>
      <c r="I280" t="s">
        <v>1670</v>
      </c>
      <c r="J280" t="s">
        <v>1674</v>
      </c>
      <c r="K280">
        <v>1</v>
      </c>
      <c r="L280">
        <v>0</v>
      </c>
      <c r="M280">
        <v>1</v>
      </c>
      <c r="N280">
        <v>2</v>
      </c>
      <c r="O280">
        <v>0</v>
      </c>
      <c r="P280">
        <v>2</v>
      </c>
      <c r="Q280">
        <f>N280-K280</f>
        <v>1</v>
      </c>
      <c r="R280">
        <f>O280-L280</f>
        <v>0</v>
      </c>
      <c r="S280">
        <f>P280-M280</f>
        <v>1</v>
      </c>
      <c r="T280">
        <v>0</v>
      </c>
      <c r="U280" s="14">
        <v>0</v>
      </c>
      <c r="V280" s="14">
        <v>0</v>
      </c>
      <c r="W280" s="16">
        <v>0</v>
      </c>
      <c r="X280" s="16">
        <v>0</v>
      </c>
    </row>
    <row r="281" spans="1:24" x14ac:dyDescent="0.2">
      <c r="A281" t="s">
        <v>13</v>
      </c>
      <c r="B281" t="s">
        <v>20</v>
      </c>
      <c r="C281" t="s">
        <v>31</v>
      </c>
      <c r="D281" t="s">
        <v>82</v>
      </c>
      <c r="E281" t="s">
        <v>317</v>
      </c>
      <c r="F281" t="s">
        <v>821</v>
      </c>
      <c r="H281" t="s">
        <v>1669</v>
      </c>
      <c r="I281" t="s">
        <v>1670</v>
      </c>
      <c r="J281" t="s">
        <v>1674</v>
      </c>
      <c r="K281">
        <v>4</v>
      </c>
      <c r="L281">
        <v>0</v>
      </c>
      <c r="M281">
        <v>4</v>
      </c>
      <c r="N281">
        <v>5</v>
      </c>
      <c r="O281">
        <v>0</v>
      </c>
      <c r="P281">
        <v>5</v>
      </c>
      <c r="Q281">
        <f>N281-K281</f>
        <v>1</v>
      </c>
      <c r="R281">
        <f>O281-L281</f>
        <v>0</v>
      </c>
      <c r="S281">
        <f>P281-M281</f>
        <v>1</v>
      </c>
      <c r="T281">
        <v>7</v>
      </c>
      <c r="U281" s="14">
        <v>23972</v>
      </c>
      <c r="V281" s="14">
        <v>12</v>
      </c>
      <c r="W281" s="16">
        <v>7.747961020396347E-5</v>
      </c>
      <c r="X281" s="16">
        <v>2.1732358757778372E-5</v>
      </c>
    </row>
    <row r="282" spans="1:24" x14ac:dyDescent="0.2">
      <c r="A282" t="s">
        <v>13</v>
      </c>
      <c r="B282" t="s">
        <v>20</v>
      </c>
      <c r="C282" t="s">
        <v>31</v>
      </c>
      <c r="D282" t="s">
        <v>82</v>
      </c>
      <c r="E282" t="s">
        <v>318</v>
      </c>
      <c r="F282" t="s">
        <v>822</v>
      </c>
      <c r="H282" t="s">
        <v>1669</v>
      </c>
      <c r="I282" t="s">
        <v>1670</v>
      </c>
      <c r="J282" t="s">
        <v>1673</v>
      </c>
      <c r="K282">
        <v>1</v>
      </c>
      <c r="L282">
        <v>0</v>
      </c>
      <c r="M282">
        <v>1</v>
      </c>
      <c r="N282">
        <v>2</v>
      </c>
      <c r="O282">
        <v>0</v>
      </c>
      <c r="P282">
        <v>2</v>
      </c>
      <c r="Q282">
        <f>N282-K282</f>
        <v>1</v>
      </c>
      <c r="R282">
        <f>O282-L282</f>
        <v>0</v>
      </c>
      <c r="S282">
        <f>P282-M282</f>
        <v>1</v>
      </c>
      <c r="T282">
        <v>0</v>
      </c>
      <c r="U282" s="14">
        <v>0</v>
      </c>
      <c r="V282" s="14">
        <v>0</v>
      </c>
      <c r="W282" s="16">
        <v>0</v>
      </c>
      <c r="X282" s="16">
        <v>0</v>
      </c>
    </row>
    <row r="283" spans="1:24" x14ac:dyDescent="0.2">
      <c r="A283" t="s">
        <v>13</v>
      </c>
      <c r="B283" t="s">
        <v>20</v>
      </c>
      <c r="C283" t="s">
        <v>31</v>
      </c>
      <c r="D283" t="s">
        <v>93</v>
      </c>
      <c r="E283" t="s">
        <v>319</v>
      </c>
      <c r="F283" t="s">
        <v>824</v>
      </c>
      <c r="H283" t="s">
        <v>1669</v>
      </c>
      <c r="I283" t="s">
        <v>1670</v>
      </c>
      <c r="J283" t="s">
        <v>1674</v>
      </c>
      <c r="K283">
        <v>3</v>
      </c>
      <c r="L283">
        <v>0</v>
      </c>
      <c r="M283">
        <v>3</v>
      </c>
      <c r="N283">
        <v>4</v>
      </c>
      <c r="O283">
        <v>0</v>
      </c>
      <c r="P283">
        <v>4</v>
      </c>
      <c r="Q283">
        <f>N283-K283</f>
        <v>1</v>
      </c>
      <c r="R283">
        <f>O283-L283</f>
        <v>0</v>
      </c>
      <c r="S283">
        <f>P283-M283</f>
        <v>1</v>
      </c>
      <c r="T283">
        <v>8</v>
      </c>
      <c r="U283" s="14">
        <v>9168.3799999999992</v>
      </c>
      <c r="V283" s="14">
        <v>21</v>
      </c>
      <c r="W283" s="16">
        <v>2.963300970306251E-5</v>
      </c>
      <c r="X283" s="16">
        <v>3.8031627826112152E-5</v>
      </c>
    </row>
    <row r="284" spans="1:24" x14ac:dyDescent="0.2">
      <c r="A284" t="s">
        <v>13</v>
      </c>
      <c r="B284" t="s">
        <v>20</v>
      </c>
      <c r="C284" t="s">
        <v>31</v>
      </c>
      <c r="D284" t="s">
        <v>93</v>
      </c>
      <c r="E284" t="s">
        <v>320</v>
      </c>
      <c r="F284" t="s">
        <v>826</v>
      </c>
      <c r="H284" t="s">
        <v>1669</v>
      </c>
      <c r="I284" t="s">
        <v>1670</v>
      </c>
      <c r="J284" t="s">
        <v>1674</v>
      </c>
      <c r="K284">
        <v>1</v>
      </c>
      <c r="L284">
        <v>0</v>
      </c>
      <c r="M284">
        <v>1</v>
      </c>
      <c r="N284">
        <v>2</v>
      </c>
      <c r="O284">
        <v>0</v>
      </c>
      <c r="P284">
        <v>2</v>
      </c>
      <c r="Q284">
        <f>N284-K284</f>
        <v>1</v>
      </c>
      <c r="R284">
        <f>O284-L284</f>
        <v>0</v>
      </c>
      <c r="S284">
        <f>P284-M284</f>
        <v>1</v>
      </c>
      <c r="T284">
        <v>0</v>
      </c>
      <c r="U284" s="14">
        <v>0</v>
      </c>
      <c r="V284" s="14">
        <v>0</v>
      </c>
      <c r="W284" s="16">
        <v>0</v>
      </c>
      <c r="X284" s="16">
        <v>0</v>
      </c>
    </row>
    <row r="285" spans="1:24" x14ac:dyDescent="0.2">
      <c r="A285" t="s">
        <v>17</v>
      </c>
      <c r="B285" s="35" t="s">
        <v>19</v>
      </c>
      <c r="C285" t="s">
        <v>52</v>
      </c>
      <c r="D285" t="s">
        <v>140</v>
      </c>
      <c r="E285" t="s">
        <v>511</v>
      </c>
      <c r="F285" t="s">
        <v>1128</v>
      </c>
      <c r="H285" t="s">
        <v>1670</v>
      </c>
      <c r="I285" t="s">
        <v>1670</v>
      </c>
      <c r="J285" t="s">
        <v>1674</v>
      </c>
      <c r="K285">
        <v>6</v>
      </c>
      <c r="L285">
        <v>0</v>
      </c>
      <c r="M285">
        <v>6</v>
      </c>
      <c r="N285">
        <v>6</v>
      </c>
      <c r="O285">
        <v>0</v>
      </c>
      <c r="P285">
        <v>6</v>
      </c>
      <c r="Q285">
        <f>N285-K285</f>
        <v>0</v>
      </c>
      <c r="R285">
        <f>O285-L285</f>
        <v>0</v>
      </c>
      <c r="S285">
        <f>P285-M285</f>
        <v>0</v>
      </c>
      <c r="T285">
        <v>35</v>
      </c>
      <c r="U285" s="14">
        <v>92622.159999999974</v>
      </c>
      <c r="V285" s="14">
        <v>384</v>
      </c>
      <c r="W285" s="16">
        <v>2.9936295899587583E-4</v>
      </c>
      <c r="X285" s="16">
        <v>6.9543548024890791E-4</v>
      </c>
    </row>
    <row r="286" spans="1:24" x14ac:dyDescent="0.2">
      <c r="A286" t="s">
        <v>13</v>
      </c>
      <c r="B286" t="s">
        <v>20</v>
      </c>
      <c r="C286" t="s">
        <v>38</v>
      </c>
      <c r="D286" t="s">
        <v>102</v>
      </c>
      <c r="E286" t="s">
        <v>336</v>
      </c>
      <c r="F286" t="s">
        <v>843</v>
      </c>
      <c r="H286" t="s">
        <v>1669</v>
      </c>
      <c r="I286" t="s">
        <v>1670</v>
      </c>
      <c r="J286" t="s">
        <v>1674</v>
      </c>
      <c r="K286">
        <v>1</v>
      </c>
      <c r="L286">
        <v>1</v>
      </c>
      <c r="M286">
        <v>2</v>
      </c>
      <c r="N286">
        <v>2</v>
      </c>
      <c r="O286">
        <v>1</v>
      </c>
      <c r="P286">
        <v>3</v>
      </c>
      <c r="Q286">
        <f>N286-K286</f>
        <v>1</v>
      </c>
      <c r="R286">
        <f>O286-L286</f>
        <v>0</v>
      </c>
      <c r="S286">
        <f>P286-M286</f>
        <v>1</v>
      </c>
      <c r="T286">
        <v>0</v>
      </c>
      <c r="U286" s="14">
        <v>0</v>
      </c>
      <c r="V286" s="14">
        <v>0</v>
      </c>
      <c r="W286" s="16">
        <v>0</v>
      </c>
      <c r="X286" s="16">
        <v>0</v>
      </c>
    </row>
    <row r="287" spans="1:24" x14ac:dyDescent="0.2">
      <c r="A287" t="s">
        <v>16</v>
      </c>
      <c r="B287" t="s">
        <v>22</v>
      </c>
      <c r="C287" t="s">
        <v>39</v>
      </c>
      <c r="D287" t="s">
        <v>157</v>
      </c>
      <c r="E287" t="s">
        <v>442</v>
      </c>
      <c r="F287" t="s">
        <v>1012</v>
      </c>
      <c r="H287" t="s">
        <v>1670</v>
      </c>
      <c r="I287" t="s">
        <v>1670</v>
      </c>
      <c r="J287" t="s">
        <v>1674</v>
      </c>
      <c r="K287">
        <v>12</v>
      </c>
      <c r="L287">
        <v>0</v>
      </c>
      <c r="M287">
        <v>12</v>
      </c>
      <c r="N287">
        <v>12</v>
      </c>
      <c r="O287">
        <v>0</v>
      </c>
      <c r="P287">
        <v>12</v>
      </c>
      <c r="Q287">
        <f>N287-K287</f>
        <v>0</v>
      </c>
      <c r="R287">
        <f>O287-L287</f>
        <v>0</v>
      </c>
      <c r="S287">
        <f>P287-M287</f>
        <v>0</v>
      </c>
      <c r="T287">
        <v>6</v>
      </c>
      <c r="U287" s="14">
        <v>92582.73</v>
      </c>
      <c r="V287" s="14">
        <v>60</v>
      </c>
      <c r="W287" s="16">
        <v>2.9923551777151654E-4</v>
      </c>
      <c r="X287" s="16">
        <v>1.0866179378889187E-4</v>
      </c>
    </row>
    <row r="288" spans="1:24" x14ac:dyDescent="0.2">
      <c r="A288" t="s">
        <v>14</v>
      </c>
      <c r="B288" t="s">
        <v>19</v>
      </c>
      <c r="C288" t="s">
        <v>48</v>
      </c>
      <c r="D288" t="s">
        <v>132</v>
      </c>
      <c r="E288" t="s">
        <v>376</v>
      </c>
      <c r="F288" t="s">
        <v>896</v>
      </c>
      <c r="H288" t="s">
        <v>1669</v>
      </c>
      <c r="I288" t="s">
        <v>1670</v>
      </c>
      <c r="J288" t="s">
        <v>1674</v>
      </c>
      <c r="K288">
        <v>1</v>
      </c>
      <c r="L288">
        <v>1</v>
      </c>
      <c r="M288">
        <v>2</v>
      </c>
      <c r="N288">
        <v>2</v>
      </c>
      <c r="O288">
        <v>1</v>
      </c>
      <c r="P288">
        <v>3</v>
      </c>
      <c r="Q288">
        <f>N288-K288</f>
        <v>1</v>
      </c>
      <c r="R288">
        <f>O288-L288</f>
        <v>0</v>
      </c>
      <c r="S288">
        <f>P288-M288</f>
        <v>1</v>
      </c>
      <c r="T288">
        <v>58</v>
      </c>
      <c r="U288" s="14">
        <v>209479.69000000003</v>
      </c>
      <c r="V288" s="14">
        <v>483</v>
      </c>
      <c r="W288" s="16">
        <v>6.7705676317566773E-4</v>
      </c>
      <c r="X288" s="16">
        <v>8.7472744000057954E-4</v>
      </c>
    </row>
    <row r="289" spans="1:24" x14ac:dyDescent="0.2">
      <c r="A289" t="s">
        <v>16</v>
      </c>
      <c r="B289" t="s">
        <v>22</v>
      </c>
      <c r="C289" t="s">
        <v>39</v>
      </c>
      <c r="D289" t="s">
        <v>163</v>
      </c>
      <c r="E289" t="s">
        <v>457</v>
      </c>
      <c r="F289" t="s">
        <v>1655</v>
      </c>
      <c r="H289" t="s">
        <v>1670</v>
      </c>
      <c r="I289" t="s">
        <v>1670</v>
      </c>
      <c r="J289" t="s">
        <v>1674</v>
      </c>
      <c r="K289">
        <v>0</v>
      </c>
      <c r="L289">
        <v>0</v>
      </c>
      <c r="M289">
        <v>0</v>
      </c>
      <c r="N289">
        <v>2</v>
      </c>
      <c r="O289">
        <v>0</v>
      </c>
      <c r="P289">
        <v>2</v>
      </c>
      <c r="Q289">
        <f>N289-K289</f>
        <v>2</v>
      </c>
      <c r="R289">
        <f>O289-L289</f>
        <v>0</v>
      </c>
      <c r="S289">
        <f>P289-M289</f>
        <v>2</v>
      </c>
      <c r="T289">
        <v>27</v>
      </c>
      <c r="U289" s="14">
        <v>92034.800000000017</v>
      </c>
      <c r="V289" s="14">
        <v>711</v>
      </c>
      <c r="W289" s="16">
        <v>2.9746455986983723E-4</v>
      </c>
      <c r="X289" s="16">
        <v>1.2876422563983685E-3</v>
      </c>
    </row>
    <row r="290" spans="1:24" x14ac:dyDescent="0.2">
      <c r="A290" t="s">
        <v>15</v>
      </c>
      <c r="B290" t="s">
        <v>24</v>
      </c>
      <c r="C290" t="s">
        <v>58</v>
      </c>
      <c r="D290" t="s">
        <v>148</v>
      </c>
      <c r="E290" t="s">
        <v>407</v>
      </c>
      <c r="F290" t="s">
        <v>936</v>
      </c>
      <c r="H290" t="s">
        <v>1669</v>
      </c>
      <c r="I290" t="s">
        <v>1670</v>
      </c>
      <c r="J290" t="s">
        <v>1674</v>
      </c>
      <c r="K290">
        <v>3</v>
      </c>
      <c r="L290">
        <v>1</v>
      </c>
      <c r="M290">
        <v>4</v>
      </c>
      <c r="N290">
        <v>4</v>
      </c>
      <c r="O290">
        <v>1</v>
      </c>
      <c r="P290">
        <v>5</v>
      </c>
      <c r="Q290">
        <f>N290-K290</f>
        <v>1</v>
      </c>
      <c r="R290">
        <f>O290-L290</f>
        <v>0</v>
      </c>
      <c r="S290">
        <f>P290-M290</f>
        <v>1</v>
      </c>
      <c r="T290">
        <v>17</v>
      </c>
      <c r="U290" s="14">
        <v>33194.959999999999</v>
      </c>
      <c r="V290" s="14">
        <v>255</v>
      </c>
      <c r="W290" s="16">
        <v>1.0728902726247953E-4</v>
      </c>
      <c r="X290" s="16">
        <v>4.6181262360279042E-4</v>
      </c>
    </row>
    <row r="291" spans="1:24" x14ac:dyDescent="0.2">
      <c r="A291" t="s">
        <v>15</v>
      </c>
      <c r="B291" t="s">
        <v>24</v>
      </c>
      <c r="C291" t="s">
        <v>58</v>
      </c>
      <c r="D291" t="s">
        <v>148</v>
      </c>
      <c r="E291" t="s">
        <v>407</v>
      </c>
      <c r="F291" t="s">
        <v>940</v>
      </c>
      <c r="H291" t="s">
        <v>1669</v>
      </c>
      <c r="I291" t="s">
        <v>1670</v>
      </c>
      <c r="J291" t="s">
        <v>1674</v>
      </c>
      <c r="K291">
        <v>3</v>
      </c>
      <c r="L291">
        <v>1</v>
      </c>
      <c r="M291">
        <v>4</v>
      </c>
      <c r="N291">
        <v>4</v>
      </c>
      <c r="O291">
        <v>1</v>
      </c>
      <c r="P291">
        <v>5</v>
      </c>
      <c r="Q291">
        <f>N291-K291</f>
        <v>1</v>
      </c>
      <c r="R291">
        <f>O291-L291</f>
        <v>0</v>
      </c>
      <c r="S291">
        <f>P291-M291</f>
        <v>1</v>
      </c>
      <c r="T291">
        <v>11</v>
      </c>
      <c r="U291" s="14">
        <v>16024.189999999999</v>
      </c>
      <c r="V291" s="14">
        <v>130</v>
      </c>
      <c r="W291" s="16">
        <v>5.1791589981405357E-5</v>
      </c>
      <c r="X291" s="16">
        <v>2.3543388654259905E-4</v>
      </c>
    </row>
    <row r="292" spans="1:24" x14ac:dyDescent="0.2">
      <c r="A292" t="s">
        <v>15</v>
      </c>
      <c r="B292" t="s">
        <v>24</v>
      </c>
      <c r="C292" t="s">
        <v>58</v>
      </c>
      <c r="D292" t="s">
        <v>150</v>
      </c>
      <c r="E292" t="s">
        <v>425</v>
      </c>
      <c r="F292" t="s">
        <v>971</v>
      </c>
      <c r="H292" t="s">
        <v>1669</v>
      </c>
      <c r="I292" t="s">
        <v>1670</v>
      </c>
      <c r="J292" t="s">
        <v>1674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3</v>
      </c>
      <c r="Q292">
        <f>N292-K292</f>
        <v>1</v>
      </c>
      <c r="R292">
        <f>O292-L292</f>
        <v>0</v>
      </c>
      <c r="S292">
        <f>P292-M292</f>
        <v>1</v>
      </c>
      <c r="T292">
        <v>15</v>
      </c>
      <c r="U292" s="14">
        <v>24745.439999999999</v>
      </c>
      <c r="V292" s="14">
        <v>152</v>
      </c>
      <c r="W292" s="16">
        <v>7.9979436239177609E-5</v>
      </c>
      <c r="X292" s="16">
        <v>2.7527654426519273E-4</v>
      </c>
    </row>
    <row r="293" spans="1:24" x14ac:dyDescent="0.2">
      <c r="A293" t="s">
        <v>16</v>
      </c>
      <c r="B293" t="s">
        <v>22</v>
      </c>
      <c r="C293" t="s">
        <v>39</v>
      </c>
      <c r="D293" t="s">
        <v>163</v>
      </c>
      <c r="E293" t="s">
        <v>457</v>
      </c>
      <c r="F293" t="s">
        <v>1501</v>
      </c>
      <c r="H293" t="s">
        <v>1670</v>
      </c>
      <c r="I293" t="s">
        <v>1670</v>
      </c>
      <c r="J293" t="s">
        <v>1674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f>N293-K293</f>
        <v>0</v>
      </c>
      <c r="R293">
        <f>O293-L293</f>
        <v>0</v>
      </c>
      <c r="S293">
        <f>P293-M293</f>
        <v>0</v>
      </c>
      <c r="T293">
        <v>9</v>
      </c>
      <c r="U293" s="14">
        <v>89703.56</v>
      </c>
      <c r="V293" s="14">
        <v>180</v>
      </c>
      <c r="W293" s="16">
        <v>2.8992978736475257E-4</v>
      </c>
      <c r="X293" s="16">
        <v>3.2598538136667559E-4</v>
      </c>
    </row>
    <row r="294" spans="1:24" x14ac:dyDescent="0.2">
      <c r="A294" t="s">
        <v>16</v>
      </c>
      <c r="B294" t="s">
        <v>22</v>
      </c>
      <c r="C294" t="s">
        <v>39</v>
      </c>
      <c r="D294" t="s">
        <v>156</v>
      </c>
      <c r="E294" t="s">
        <v>435</v>
      </c>
      <c r="F294" t="s">
        <v>997</v>
      </c>
      <c r="H294" t="s">
        <v>1670</v>
      </c>
      <c r="I294" t="s">
        <v>1671</v>
      </c>
      <c r="J294" t="s">
        <v>1674</v>
      </c>
      <c r="K294">
        <v>1</v>
      </c>
      <c r="L294">
        <v>0</v>
      </c>
      <c r="M294">
        <v>1</v>
      </c>
      <c r="N294">
        <v>3</v>
      </c>
      <c r="O294">
        <v>0</v>
      </c>
      <c r="P294">
        <v>3</v>
      </c>
      <c r="Q294">
        <f>N294-K294</f>
        <v>2</v>
      </c>
      <c r="R294">
        <f>O294-L294</f>
        <v>0</v>
      </c>
      <c r="S294">
        <f>P294-M294</f>
        <v>2</v>
      </c>
      <c r="T294">
        <v>40</v>
      </c>
      <c r="U294" s="14">
        <v>87382.749999999985</v>
      </c>
      <c r="V294" s="14">
        <v>350</v>
      </c>
      <c r="W294" s="16">
        <v>2.8242872553605819E-4</v>
      </c>
      <c r="X294" s="16">
        <v>6.3386046376853592E-4</v>
      </c>
    </row>
    <row r="295" spans="1:24" x14ac:dyDescent="0.2">
      <c r="A295" t="s">
        <v>14</v>
      </c>
      <c r="B295" s="35" t="s">
        <v>19</v>
      </c>
      <c r="C295" t="s">
        <v>51</v>
      </c>
      <c r="D295" t="s">
        <v>138</v>
      </c>
      <c r="E295" t="s">
        <v>388</v>
      </c>
      <c r="F295" t="s">
        <v>388</v>
      </c>
      <c r="H295" t="s">
        <v>1670</v>
      </c>
      <c r="I295" t="s">
        <v>1670</v>
      </c>
      <c r="J295" t="s">
        <v>1674</v>
      </c>
      <c r="K295">
        <v>5</v>
      </c>
      <c r="L295">
        <v>0</v>
      </c>
      <c r="M295">
        <v>5</v>
      </c>
      <c r="N295">
        <v>5</v>
      </c>
      <c r="O295">
        <v>0</v>
      </c>
      <c r="P295">
        <v>5</v>
      </c>
      <c r="Q295">
        <f>N295-K295</f>
        <v>0</v>
      </c>
      <c r="R295">
        <f>O295-L295</f>
        <v>0</v>
      </c>
      <c r="S295">
        <f>P295-M295</f>
        <v>0</v>
      </c>
      <c r="T295">
        <v>29</v>
      </c>
      <c r="U295" s="14">
        <v>86786.29</v>
      </c>
      <c r="V295" s="14">
        <v>198</v>
      </c>
      <c r="W295" s="16">
        <v>2.8050091441048439E-4</v>
      </c>
      <c r="X295" s="16">
        <v>3.5858391950334314E-4</v>
      </c>
    </row>
    <row r="296" spans="1:24" x14ac:dyDescent="0.2">
      <c r="A296" t="s">
        <v>16</v>
      </c>
      <c r="B296" t="s">
        <v>22</v>
      </c>
      <c r="C296" t="s">
        <v>39</v>
      </c>
      <c r="D296" t="s">
        <v>159</v>
      </c>
      <c r="E296" t="s">
        <v>448</v>
      </c>
      <c r="F296" t="s">
        <v>1021</v>
      </c>
      <c r="H296" t="s">
        <v>1670</v>
      </c>
      <c r="I296" t="s">
        <v>1670</v>
      </c>
      <c r="J296" t="s">
        <v>1674</v>
      </c>
      <c r="K296">
        <v>3</v>
      </c>
      <c r="L296">
        <v>0</v>
      </c>
      <c r="M296">
        <v>3</v>
      </c>
      <c r="N296">
        <v>3</v>
      </c>
      <c r="O296">
        <v>0</v>
      </c>
      <c r="P296">
        <v>3</v>
      </c>
      <c r="Q296">
        <f>N296-K296</f>
        <v>0</v>
      </c>
      <c r="R296">
        <f>O296-L296</f>
        <v>0</v>
      </c>
      <c r="S296">
        <f>P296-M296</f>
        <v>0</v>
      </c>
      <c r="T296">
        <v>22</v>
      </c>
      <c r="U296" s="14">
        <v>86039.640000000014</v>
      </c>
      <c r="V296" s="14">
        <v>149</v>
      </c>
      <c r="W296" s="16">
        <v>2.7808767600906659E-4</v>
      </c>
      <c r="X296" s="16">
        <v>2.6984345457574816E-4</v>
      </c>
    </row>
    <row r="297" spans="1:24" x14ac:dyDescent="0.2">
      <c r="A297" t="s">
        <v>14</v>
      </c>
      <c r="B297" s="35" t="s">
        <v>19</v>
      </c>
      <c r="C297" t="s">
        <v>52</v>
      </c>
      <c r="D297" t="s">
        <v>139</v>
      </c>
      <c r="E297" t="s">
        <v>390</v>
      </c>
      <c r="F297" t="s">
        <v>390</v>
      </c>
      <c r="H297" t="s">
        <v>1670</v>
      </c>
      <c r="I297" t="s">
        <v>1670</v>
      </c>
      <c r="J297" t="s">
        <v>1674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f>N297-K297</f>
        <v>0</v>
      </c>
      <c r="R297">
        <f>O297-L297</f>
        <v>0</v>
      </c>
      <c r="S297">
        <f>P297-M297</f>
        <v>0</v>
      </c>
      <c r="T297">
        <v>9</v>
      </c>
      <c r="U297" s="14">
        <v>85950.82</v>
      </c>
      <c r="V297" s="14">
        <v>240</v>
      </c>
      <c r="W297" s="16">
        <v>2.7780060196525231E-4</v>
      </c>
      <c r="X297" s="16">
        <v>4.3464717515556749E-4</v>
      </c>
    </row>
    <row r="298" spans="1:24" x14ac:dyDescent="0.2">
      <c r="A298" t="s">
        <v>16</v>
      </c>
      <c r="B298" t="s">
        <v>22</v>
      </c>
      <c r="C298" t="s">
        <v>39</v>
      </c>
      <c r="D298" t="s">
        <v>155</v>
      </c>
      <c r="E298" t="s">
        <v>443</v>
      </c>
      <c r="F298" t="s">
        <v>1013</v>
      </c>
      <c r="H298" t="s">
        <v>1669</v>
      </c>
      <c r="I298" t="s">
        <v>1670</v>
      </c>
      <c r="J298" t="s">
        <v>1674</v>
      </c>
      <c r="K298">
        <v>1</v>
      </c>
      <c r="L298">
        <v>0</v>
      </c>
      <c r="M298">
        <v>1</v>
      </c>
      <c r="N298">
        <v>2</v>
      </c>
      <c r="O298">
        <v>0</v>
      </c>
      <c r="P298">
        <v>2</v>
      </c>
      <c r="Q298">
        <f>N298-K298</f>
        <v>1</v>
      </c>
      <c r="R298">
        <f>O298-L298</f>
        <v>0</v>
      </c>
      <c r="S298">
        <f>P298-M298</f>
        <v>1</v>
      </c>
      <c r="T298">
        <v>10</v>
      </c>
      <c r="U298" s="14">
        <v>304364.65999999997</v>
      </c>
      <c r="V298" s="14">
        <v>363</v>
      </c>
      <c r="W298" s="16">
        <v>9.8373332290429953E-4</v>
      </c>
      <c r="X298" s="16">
        <v>6.5740385242279574E-4</v>
      </c>
    </row>
    <row r="299" spans="1:24" x14ac:dyDescent="0.2">
      <c r="A299" t="s">
        <v>16</v>
      </c>
      <c r="B299" t="s">
        <v>22</v>
      </c>
      <c r="C299" t="s">
        <v>39</v>
      </c>
      <c r="D299" t="s">
        <v>166</v>
      </c>
      <c r="E299" t="s">
        <v>461</v>
      </c>
      <c r="F299" t="s">
        <v>1400</v>
      </c>
      <c r="H299" t="s">
        <v>1670</v>
      </c>
      <c r="I299" t="s">
        <v>1670</v>
      </c>
      <c r="J299" t="s">
        <v>1673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f>N299-K299</f>
        <v>0</v>
      </c>
      <c r="R299">
        <f>O299-L299</f>
        <v>0</v>
      </c>
      <c r="S299">
        <f>P299-M299</f>
        <v>0</v>
      </c>
      <c r="T299">
        <v>25</v>
      </c>
      <c r="U299" s="14">
        <v>85253.98</v>
      </c>
      <c r="V299" s="14">
        <v>74</v>
      </c>
      <c r="W299" s="16">
        <v>2.7554835386019096E-4</v>
      </c>
      <c r="X299" s="16">
        <v>1.340162123396333E-4</v>
      </c>
    </row>
    <row r="300" spans="1:24" x14ac:dyDescent="0.2">
      <c r="A300" t="s">
        <v>16</v>
      </c>
      <c r="B300" t="s">
        <v>22</v>
      </c>
      <c r="C300" t="s">
        <v>39</v>
      </c>
      <c r="D300" t="s">
        <v>158</v>
      </c>
      <c r="E300" t="s">
        <v>446</v>
      </c>
      <c r="F300" t="s">
        <v>1019</v>
      </c>
      <c r="H300" t="s">
        <v>1670</v>
      </c>
      <c r="I300" t="s">
        <v>1670</v>
      </c>
      <c r="J300" t="s">
        <v>1674</v>
      </c>
      <c r="K300">
        <v>3</v>
      </c>
      <c r="L300">
        <v>0</v>
      </c>
      <c r="M300">
        <v>3</v>
      </c>
      <c r="N300">
        <v>5</v>
      </c>
      <c r="O300">
        <v>0</v>
      </c>
      <c r="P300">
        <v>5</v>
      </c>
      <c r="Q300">
        <f>N300-K300</f>
        <v>2</v>
      </c>
      <c r="R300">
        <f>O300-L300</f>
        <v>0</v>
      </c>
      <c r="S300">
        <f>P300-M300</f>
        <v>2</v>
      </c>
      <c r="T300">
        <v>56</v>
      </c>
      <c r="U300" s="14">
        <v>83899.279999999984</v>
      </c>
      <c r="V300" s="14">
        <v>1456</v>
      </c>
      <c r="W300" s="16">
        <v>2.7116984443489015E-4</v>
      </c>
      <c r="X300" s="16">
        <v>2.6368595292771092E-3</v>
      </c>
    </row>
    <row r="301" spans="1:24" x14ac:dyDescent="0.2">
      <c r="A301" t="s">
        <v>16</v>
      </c>
      <c r="B301" t="s">
        <v>22</v>
      </c>
      <c r="C301" t="s">
        <v>39</v>
      </c>
      <c r="D301" t="s">
        <v>163</v>
      </c>
      <c r="E301" t="s">
        <v>458</v>
      </c>
      <c r="F301" t="s">
        <v>1549</v>
      </c>
      <c r="H301" t="s">
        <v>1670</v>
      </c>
      <c r="I301" t="s">
        <v>1670</v>
      </c>
      <c r="J301" t="s">
        <v>1674</v>
      </c>
      <c r="K301">
        <v>0</v>
      </c>
      <c r="L301">
        <v>0</v>
      </c>
      <c r="M301">
        <v>0</v>
      </c>
      <c r="N301">
        <v>5</v>
      </c>
      <c r="O301">
        <v>0</v>
      </c>
      <c r="P301">
        <v>5</v>
      </c>
      <c r="Q301">
        <f>N301-K301</f>
        <v>5</v>
      </c>
      <c r="R301">
        <f>O301-L301</f>
        <v>0</v>
      </c>
      <c r="S301">
        <f>P301-M301</f>
        <v>5</v>
      </c>
      <c r="T301">
        <v>12</v>
      </c>
      <c r="U301" s="14">
        <v>79716.2</v>
      </c>
      <c r="V301" s="14">
        <v>157</v>
      </c>
      <c r="W301" s="16">
        <v>2.5764976234528584E-4</v>
      </c>
      <c r="X301" s="16">
        <v>2.8433169374760041E-4</v>
      </c>
    </row>
    <row r="302" spans="1:24" x14ac:dyDescent="0.2">
      <c r="A302" t="s">
        <v>13</v>
      </c>
      <c r="B302" t="s">
        <v>22</v>
      </c>
      <c r="C302" t="s">
        <v>37</v>
      </c>
      <c r="D302" t="s">
        <v>97</v>
      </c>
      <c r="E302" t="s">
        <v>326</v>
      </c>
      <c r="F302" t="s">
        <v>326</v>
      </c>
      <c r="H302" t="s">
        <v>1670</v>
      </c>
      <c r="I302" t="s">
        <v>1670</v>
      </c>
      <c r="J302" t="s">
        <v>1674</v>
      </c>
      <c r="K302">
        <v>3</v>
      </c>
      <c r="L302">
        <v>0</v>
      </c>
      <c r="M302">
        <v>3</v>
      </c>
      <c r="N302">
        <v>0</v>
      </c>
      <c r="O302">
        <v>0</v>
      </c>
      <c r="P302">
        <v>0</v>
      </c>
      <c r="Q302">
        <f>N302-K302</f>
        <v>-3</v>
      </c>
      <c r="R302">
        <f>O302-L302</f>
        <v>0</v>
      </c>
      <c r="S302">
        <f>P302-M302</f>
        <v>-3</v>
      </c>
      <c r="T302">
        <v>4</v>
      </c>
      <c r="U302" s="14">
        <v>78580.479999999996</v>
      </c>
      <c r="V302" s="14">
        <v>57</v>
      </c>
      <c r="W302" s="16">
        <v>2.5397901551978754E-4</v>
      </c>
      <c r="X302" s="16">
        <v>1.0322870409944728E-4</v>
      </c>
    </row>
    <row r="303" spans="1:24" x14ac:dyDescent="0.2">
      <c r="A303" t="s">
        <v>13</v>
      </c>
      <c r="B303" t="s">
        <v>20</v>
      </c>
      <c r="C303" t="s">
        <v>31</v>
      </c>
      <c r="D303" t="s">
        <v>82</v>
      </c>
      <c r="E303" t="s">
        <v>316</v>
      </c>
      <c r="F303" t="s">
        <v>1145</v>
      </c>
      <c r="H303" t="s">
        <v>1669</v>
      </c>
      <c r="I303" t="s">
        <v>1670</v>
      </c>
      <c r="J303" t="s">
        <v>1674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2</v>
      </c>
      <c r="Q303">
        <f>N303-K303</f>
        <v>1</v>
      </c>
      <c r="R303">
        <f>O303-L303</f>
        <v>0</v>
      </c>
      <c r="S303">
        <f>P303-M303</f>
        <v>1</v>
      </c>
      <c r="T303">
        <v>4</v>
      </c>
      <c r="U303" s="14">
        <v>8058.52</v>
      </c>
      <c r="V303" s="14">
        <v>41</v>
      </c>
      <c r="W303" s="16">
        <v>2.6045844669649748E-5</v>
      </c>
      <c r="X303" s="16">
        <v>7.4252225755742774E-5</v>
      </c>
    </row>
    <row r="304" spans="1:24" x14ac:dyDescent="0.2">
      <c r="A304" t="s">
        <v>14</v>
      </c>
      <c r="B304" t="s">
        <v>19</v>
      </c>
      <c r="C304" t="s">
        <v>48</v>
      </c>
      <c r="D304" t="s">
        <v>131</v>
      </c>
      <c r="E304" t="s">
        <v>518</v>
      </c>
      <c r="F304" t="s">
        <v>1146</v>
      </c>
      <c r="H304" t="s">
        <v>1669</v>
      </c>
      <c r="I304" t="s">
        <v>1670</v>
      </c>
      <c r="J304" t="s">
        <v>1674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2</v>
      </c>
      <c r="Q304">
        <f>N304-K304</f>
        <v>1</v>
      </c>
      <c r="R304">
        <f>O304-L304</f>
        <v>0</v>
      </c>
      <c r="S304">
        <f>P304-M304</f>
        <v>1</v>
      </c>
      <c r="T304">
        <v>12</v>
      </c>
      <c r="U304" s="14">
        <v>39496.280000000006</v>
      </c>
      <c r="V304" s="14">
        <v>106</v>
      </c>
      <c r="W304" s="16">
        <v>1.2765544714277486E-4</v>
      </c>
      <c r="X304" s="16">
        <v>1.9196916902704229E-4</v>
      </c>
    </row>
    <row r="305" spans="1:24" x14ac:dyDescent="0.2">
      <c r="A305" t="s">
        <v>12</v>
      </c>
      <c r="B305" t="s">
        <v>19</v>
      </c>
      <c r="C305" t="s">
        <v>28</v>
      </c>
      <c r="D305" t="s">
        <v>79</v>
      </c>
      <c r="E305" t="s">
        <v>522</v>
      </c>
      <c r="F305" t="s">
        <v>522</v>
      </c>
      <c r="H305" t="s">
        <v>1669</v>
      </c>
      <c r="I305" t="s">
        <v>1671</v>
      </c>
      <c r="J305" t="s">
        <v>1674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2</v>
      </c>
      <c r="Q305">
        <f>N305-K305</f>
        <v>1</v>
      </c>
      <c r="R305">
        <f>O305-L305</f>
        <v>0</v>
      </c>
      <c r="S305">
        <f>P305-M305</f>
        <v>1</v>
      </c>
      <c r="T305">
        <v>10</v>
      </c>
      <c r="U305" s="14">
        <v>21052.600000000002</v>
      </c>
      <c r="V305" s="14">
        <v>36</v>
      </c>
      <c r="W305" s="16">
        <v>6.8043852902551372E-5</v>
      </c>
      <c r="X305" s="16">
        <v>6.519707627333512E-5</v>
      </c>
    </row>
    <row r="306" spans="1:24" x14ac:dyDescent="0.2">
      <c r="A306" t="s">
        <v>12</v>
      </c>
      <c r="B306" t="s">
        <v>19</v>
      </c>
      <c r="C306" t="s">
        <v>28</v>
      </c>
      <c r="D306" t="s">
        <v>78</v>
      </c>
      <c r="E306" t="s">
        <v>529</v>
      </c>
      <c r="F306" t="s">
        <v>1156</v>
      </c>
      <c r="H306" t="s">
        <v>1669</v>
      </c>
      <c r="I306" t="s">
        <v>1670</v>
      </c>
      <c r="J306" t="s">
        <v>1674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2</v>
      </c>
      <c r="Q306">
        <f>N306-K306</f>
        <v>1</v>
      </c>
      <c r="R306">
        <f>O306-L306</f>
        <v>0</v>
      </c>
      <c r="S306">
        <f>P306-M306</f>
        <v>1</v>
      </c>
      <c r="T306">
        <v>1</v>
      </c>
      <c r="U306" s="14">
        <v>2249</v>
      </c>
      <c r="V306" s="14">
        <v>4</v>
      </c>
      <c r="W306" s="16">
        <v>7.2689655993957046E-6</v>
      </c>
      <c r="X306" s="16">
        <v>7.2441195859261247E-6</v>
      </c>
    </row>
    <row r="307" spans="1:24" x14ac:dyDescent="0.2">
      <c r="A307" t="s">
        <v>14</v>
      </c>
      <c r="B307" t="s">
        <v>19</v>
      </c>
      <c r="C307" t="s">
        <v>48</v>
      </c>
      <c r="D307" t="s">
        <v>131</v>
      </c>
      <c r="E307" t="s">
        <v>535</v>
      </c>
      <c r="F307" t="s">
        <v>1166</v>
      </c>
      <c r="H307" t="s">
        <v>1669</v>
      </c>
      <c r="I307" t="s">
        <v>1670</v>
      </c>
      <c r="J307" t="s">
        <v>1674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2</v>
      </c>
      <c r="Q307">
        <f>N307-K307</f>
        <v>1</v>
      </c>
      <c r="R307">
        <f>O307-L307</f>
        <v>0</v>
      </c>
      <c r="S307">
        <f>P307-M307</f>
        <v>1</v>
      </c>
      <c r="T307">
        <v>5</v>
      </c>
      <c r="U307" s="14">
        <v>2942.71</v>
      </c>
      <c r="V307" s="14">
        <v>23</v>
      </c>
      <c r="W307" s="16">
        <v>9.5110972694520831E-6</v>
      </c>
      <c r="X307" s="16">
        <v>4.1653687619075214E-5</v>
      </c>
    </row>
    <row r="308" spans="1:24" x14ac:dyDescent="0.2">
      <c r="A308" t="s">
        <v>14</v>
      </c>
      <c r="B308" t="s">
        <v>19</v>
      </c>
      <c r="C308" t="s">
        <v>48</v>
      </c>
      <c r="D308" t="s">
        <v>132</v>
      </c>
      <c r="E308" t="s">
        <v>536</v>
      </c>
      <c r="F308" t="s">
        <v>1175</v>
      </c>
      <c r="H308" t="s">
        <v>1669</v>
      </c>
      <c r="I308" t="s">
        <v>1670</v>
      </c>
      <c r="J308" t="s">
        <v>1674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2</v>
      </c>
      <c r="Q308">
        <f>N308-K308</f>
        <v>1</v>
      </c>
      <c r="R308">
        <f>O308-L308</f>
        <v>0</v>
      </c>
      <c r="S308">
        <f>P308-M308</f>
        <v>1</v>
      </c>
      <c r="T308">
        <v>4</v>
      </c>
      <c r="U308" s="14">
        <v>6366.18</v>
      </c>
      <c r="V308" s="14">
        <v>50</v>
      </c>
      <c r="W308" s="16">
        <v>2.057605309895996E-5</v>
      </c>
      <c r="X308" s="16">
        <v>9.0551494824076551E-5</v>
      </c>
    </row>
    <row r="309" spans="1:24" x14ac:dyDescent="0.2">
      <c r="A309" t="s">
        <v>14</v>
      </c>
      <c r="B309" t="s">
        <v>19</v>
      </c>
      <c r="C309" t="s">
        <v>48</v>
      </c>
      <c r="D309" t="s">
        <v>132</v>
      </c>
      <c r="E309" t="s">
        <v>539</v>
      </c>
      <c r="F309" t="s">
        <v>1178</v>
      </c>
      <c r="H309" t="s">
        <v>1669</v>
      </c>
      <c r="I309" t="s">
        <v>1670</v>
      </c>
      <c r="J309" t="s">
        <v>1674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2</v>
      </c>
      <c r="Q309">
        <f>N309-K309</f>
        <v>1</v>
      </c>
      <c r="R309">
        <f>O309-L309</f>
        <v>0</v>
      </c>
      <c r="S309">
        <f>P309-M309</f>
        <v>1</v>
      </c>
      <c r="T309">
        <v>14</v>
      </c>
      <c r="U309" s="14">
        <v>11303.08</v>
      </c>
      <c r="V309" s="14">
        <v>168</v>
      </c>
      <c r="W309" s="16">
        <v>3.653254765994558E-5</v>
      </c>
      <c r="X309" s="16">
        <v>3.0425302260889722E-4</v>
      </c>
    </row>
    <row r="310" spans="1:24" x14ac:dyDescent="0.2">
      <c r="A310" t="s">
        <v>15</v>
      </c>
      <c r="B310" t="s">
        <v>24</v>
      </c>
      <c r="C310" t="s">
        <v>58</v>
      </c>
      <c r="D310" t="s">
        <v>150</v>
      </c>
      <c r="E310" t="s">
        <v>425</v>
      </c>
      <c r="F310" t="s">
        <v>1181</v>
      </c>
      <c r="H310" t="s">
        <v>1669</v>
      </c>
      <c r="I310" t="s">
        <v>1670</v>
      </c>
      <c r="J310" t="s">
        <v>1674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1</v>
      </c>
      <c r="Q310">
        <f>N310-K310</f>
        <v>1</v>
      </c>
      <c r="R310">
        <f>O310-L310</f>
        <v>0</v>
      </c>
      <c r="S310">
        <f>P310-M310</f>
        <v>1</v>
      </c>
      <c r="T310">
        <v>2</v>
      </c>
      <c r="U310" s="14">
        <v>794</v>
      </c>
      <c r="V310" s="14">
        <v>6</v>
      </c>
      <c r="W310" s="16">
        <v>2.566277761636367E-6</v>
      </c>
      <c r="X310" s="16">
        <v>1.0866179378889186E-5</v>
      </c>
    </row>
    <row r="311" spans="1:24" x14ac:dyDescent="0.2">
      <c r="A311" t="s">
        <v>15</v>
      </c>
      <c r="B311" t="s">
        <v>24</v>
      </c>
      <c r="C311" t="s">
        <v>58</v>
      </c>
      <c r="D311" t="s">
        <v>150</v>
      </c>
      <c r="E311" t="s">
        <v>533</v>
      </c>
      <c r="F311" t="s">
        <v>1202</v>
      </c>
      <c r="H311" t="s">
        <v>1669</v>
      </c>
      <c r="I311" t="s">
        <v>1670</v>
      </c>
      <c r="J311" t="s">
        <v>1674</v>
      </c>
      <c r="K311">
        <v>0</v>
      </c>
      <c r="L311">
        <v>0</v>
      </c>
      <c r="M311">
        <v>0</v>
      </c>
      <c r="N311">
        <v>1</v>
      </c>
      <c r="O311">
        <v>0</v>
      </c>
      <c r="P311">
        <v>1</v>
      </c>
      <c r="Q311">
        <f>N311-K311</f>
        <v>1</v>
      </c>
      <c r="R311">
        <f>O311-L311</f>
        <v>0</v>
      </c>
      <c r="S311">
        <f>P311-M311</f>
        <v>1</v>
      </c>
      <c r="T311">
        <v>0</v>
      </c>
      <c r="U311" s="14">
        <v>0</v>
      </c>
      <c r="V311" s="14">
        <v>0</v>
      </c>
      <c r="W311" s="16">
        <v>0</v>
      </c>
      <c r="X311" s="16">
        <v>0</v>
      </c>
    </row>
    <row r="312" spans="1:24" x14ac:dyDescent="0.2">
      <c r="A312" t="s">
        <v>13</v>
      </c>
      <c r="B312" t="s">
        <v>20</v>
      </c>
      <c r="C312" t="s">
        <v>38</v>
      </c>
      <c r="D312" t="s">
        <v>102</v>
      </c>
      <c r="E312" t="s">
        <v>548</v>
      </c>
      <c r="F312" t="s">
        <v>1207</v>
      </c>
      <c r="H312" t="s">
        <v>1669</v>
      </c>
      <c r="I312" t="s">
        <v>1670</v>
      </c>
      <c r="J312" t="s">
        <v>1674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f>N312-K312</f>
        <v>1</v>
      </c>
      <c r="R312">
        <f>O312-L312</f>
        <v>0</v>
      </c>
      <c r="S312">
        <f>P312-M312</f>
        <v>1</v>
      </c>
      <c r="T312">
        <v>0</v>
      </c>
      <c r="U312" s="14">
        <v>0</v>
      </c>
      <c r="V312" s="14">
        <v>0</v>
      </c>
      <c r="W312" s="16">
        <v>0</v>
      </c>
      <c r="X312" s="16">
        <v>0</v>
      </c>
    </row>
    <row r="313" spans="1:24" x14ac:dyDescent="0.2">
      <c r="A313" t="s">
        <v>14</v>
      </c>
      <c r="B313" t="s">
        <v>19</v>
      </c>
      <c r="C313" t="s">
        <v>48</v>
      </c>
      <c r="D313" t="s">
        <v>132</v>
      </c>
      <c r="E313" t="s">
        <v>560</v>
      </c>
      <c r="F313" t="s">
        <v>1228</v>
      </c>
      <c r="H313" t="s">
        <v>1669</v>
      </c>
      <c r="I313" t="s">
        <v>1670</v>
      </c>
      <c r="J313" t="s">
        <v>1674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2</v>
      </c>
      <c r="Q313">
        <f>N313-K313</f>
        <v>1</v>
      </c>
      <c r="R313">
        <f>O313-L313</f>
        <v>0</v>
      </c>
      <c r="S313">
        <f>P313-M313</f>
        <v>1</v>
      </c>
      <c r="T313">
        <v>10</v>
      </c>
      <c r="U313" s="14">
        <v>14693.29</v>
      </c>
      <c r="V313" s="14">
        <v>18</v>
      </c>
      <c r="W313" s="16">
        <v>4.7490004247196501E-5</v>
      </c>
      <c r="X313" s="16">
        <v>3.259853813666756E-5</v>
      </c>
    </row>
    <row r="314" spans="1:24" x14ac:dyDescent="0.2">
      <c r="A314" t="s">
        <v>13</v>
      </c>
      <c r="B314" t="s">
        <v>20</v>
      </c>
      <c r="C314" t="s">
        <v>33</v>
      </c>
      <c r="D314" t="s">
        <v>87</v>
      </c>
      <c r="E314" t="s">
        <v>299</v>
      </c>
      <c r="F314" t="s">
        <v>1230</v>
      </c>
      <c r="H314" t="s">
        <v>1669</v>
      </c>
      <c r="I314" t="s">
        <v>1670</v>
      </c>
      <c r="J314" t="s">
        <v>1674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f>N314-K314</f>
        <v>1</v>
      </c>
      <c r="R314">
        <f>O314-L314</f>
        <v>0</v>
      </c>
      <c r="S314">
        <f>P314-M314</f>
        <v>1</v>
      </c>
      <c r="T314">
        <v>12</v>
      </c>
      <c r="U314" s="14">
        <v>81845.23</v>
      </c>
      <c r="V314" s="14">
        <v>51</v>
      </c>
      <c r="W314" s="16">
        <v>2.64530974363997E-4</v>
      </c>
      <c r="X314" s="16">
        <v>9.2362524720558082E-5</v>
      </c>
    </row>
    <row r="315" spans="1:24" x14ac:dyDescent="0.2">
      <c r="A315" t="s">
        <v>13</v>
      </c>
      <c r="B315" t="s">
        <v>20</v>
      </c>
      <c r="C315" t="s">
        <v>38</v>
      </c>
      <c r="D315" t="s">
        <v>102</v>
      </c>
      <c r="E315" t="s">
        <v>548</v>
      </c>
      <c r="F315" t="s">
        <v>1231</v>
      </c>
      <c r="H315" t="s">
        <v>1669</v>
      </c>
      <c r="I315" t="s">
        <v>1670</v>
      </c>
      <c r="J315" t="s">
        <v>1674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f>N315-K315</f>
        <v>1</v>
      </c>
      <c r="R315">
        <f>O315-L315</f>
        <v>0</v>
      </c>
      <c r="S315">
        <f>P315-M315</f>
        <v>1</v>
      </c>
      <c r="T315">
        <v>0</v>
      </c>
      <c r="U315" s="14">
        <v>0</v>
      </c>
      <c r="V315" s="14">
        <v>0</v>
      </c>
      <c r="W315" s="16">
        <v>0</v>
      </c>
      <c r="X315" s="16">
        <v>0</v>
      </c>
    </row>
    <row r="316" spans="1:24" x14ac:dyDescent="0.2">
      <c r="A316" t="s">
        <v>13</v>
      </c>
      <c r="B316" t="s">
        <v>20</v>
      </c>
      <c r="C316" t="s">
        <v>31</v>
      </c>
      <c r="D316" t="s">
        <v>82</v>
      </c>
      <c r="E316" t="s">
        <v>538</v>
      </c>
      <c r="F316" t="s">
        <v>1257</v>
      </c>
      <c r="H316" t="s">
        <v>1669</v>
      </c>
      <c r="I316" t="s">
        <v>1671</v>
      </c>
      <c r="J316" t="s">
        <v>1674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f>N316-K316</f>
        <v>1</v>
      </c>
      <c r="R316">
        <f>O316-L316</f>
        <v>0</v>
      </c>
      <c r="S316">
        <f>P316-M316</f>
        <v>1</v>
      </c>
      <c r="T316">
        <v>7</v>
      </c>
      <c r="U316" s="14">
        <v>15869.920000000002</v>
      </c>
      <c r="V316" s="14">
        <v>25</v>
      </c>
      <c r="W316" s="16">
        <v>5.1292975787088442E-5</v>
      </c>
      <c r="X316" s="16">
        <v>4.5275747412038275E-5</v>
      </c>
    </row>
    <row r="317" spans="1:24" x14ac:dyDescent="0.2">
      <c r="A317" t="s">
        <v>17</v>
      </c>
      <c r="B317" t="s">
        <v>23</v>
      </c>
      <c r="C317" t="s">
        <v>45</v>
      </c>
      <c r="D317" t="s">
        <v>121</v>
      </c>
      <c r="E317" t="s">
        <v>495</v>
      </c>
      <c r="F317" t="s">
        <v>1277</v>
      </c>
      <c r="H317" t="s">
        <v>1669</v>
      </c>
      <c r="I317" t="s">
        <v>1671</v>
      </c>
      <c r="J317" t="s">
        <v>1673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f>N317-K317</f>
        <v>1</v>
      </c>
      <c r="R317">
        <f>O317-L317</f>
        <v>0</v>
      </c>
      <c r="S317">
        <f>P317-M317</f>
        <v>1</v>
      </c>
      <c r="T317">
        <v>0</v>
      </c>
      <c r="U317" s="14">
        <v>0</v>
      </c>
      <c r="V317" s="14">
        <v>0</v>
      </c>
      <c r="W317" s="16">
        <v>0</v>
      </c>
      <c r="X317" s="16">
        <v>0</v>
      </c>
    </row>
    <row r="318" spans="1:24" x14ac:dyDescent="0.2">
      <c r="A318" t="s">
        <v>17</v>
      </c>
      <c r="B318" t="s">
        <v>24</v>
      </c>
      <c r="C318" t="s">
        <v>49</v>
      </c>
      <c r="D318" t="s">
        <v>152</v>
      </c>
      <c r="E318" t="s">
        <v>486</v>
      </c>
      <c r="F318" t="s">
        <v>1295</v>
      </c>
      <c r="H318" t="s">
        <v>1669</v>
      </c>
      <c r="I318" t="s">
        <v>1671</v>
      </c>
      <c r="J318" t="s">
        <v>1674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1</v>
      </c>
      <c r="Q318">
        <f>N318-K318</f>
        <v>1</v>
      </c>
      <c r="R318">
        <f>O318-L318</f>
        <v>0</v>
      </c>
      <c r="S318">
        <f>P318-M318</f>
        <v>1</v>
      </c>
      <c r="T318">
        <v>4</v>
      </c>
      <c r="U318" s="14">
        <v>17583.95</v>
      </c>
      <c r="V318" s="14">
        <v>13</v>
      </c>
      <c r="W318" s="16">
        <v>5.6832871343483376E-5</v>
      </c>
      <c r="X318" s="16">
        <v>2.3543388654259903E-5</v>
      </c>
    </row>
    <row r="319" spans="1:24" x14ac:dyDescent="0.2">
      <c r="A319" t="s">
        <v>15</v>
      </c>
      <c r="B319" t="s">
        <v>24</v>
      </c>
      <c r="C319" t="s">
        <v>58</v>
      </c>
      <c r="D319" t="s">
        <v>150</v>
      </c>
      <c r="E319" t="s">
        <v>585</v>
      </c>
      <c r="F319" t="s">
        <v>1307</v>
      </c>
      <c r="H319" t="s">
        <v>1669</v>
      </c>
      <c r="I319" t="s">
        <v>1670</v>
      </c>
      <c r="J319" t="s">
        <v>1674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1</v>
      </c>
      <c r="Q319">
        <f>N319-K319</f>
        <v>1</v>
      </c>
      <c r="R319">
        <f>O319-L319</f>
        <v>0</v>
      </c>
      <c r="S319">
        <f>P319-M319</f>
        <v>1</v>
      </c>
      <c r="T319">
        <v>35</v>
      </c>
      <c r="U319" s="14">
        <v>52744.710000000006</v>
      </c>
      <c r="V319" s="14">
        <v>185</v>
      </c>
      <c r="W319" s="16">
        <v>1.7047553692312259E-4</v>
      </c>
      <c r="X319" s="16">
        <v>3.3504053084908327E-4</v>
      </c>
    </row>
    <row r="320" spans="1:24" x14ac:dyDescent="0.2">
      <c r="A320" t="s">
        <v>15</v>
      </c>
      <c r="B320" t="s">
        <v>24</v>
      </c>
      <c r="C320" t="s">
        <v>58</v>
      </c>
      <c r="D320" t="s">
        <v>150</v>
      </c>
      <c r="E320" t="s">
        <v>425</v>
      </c>
      <c r="F320" t="s">
        <v>1311</v>
      </c>
      <c r="H320" t="s">
        <v>1669</v>
      </c>
      <c r="I320" t="s">
        <v>1671</v>
      </c>
      <c r="J320" t="s">
        <v>1674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1</v>
      </c>
      <c r="Q320">
        <f>N320-K320</f>
        <v>1</v>
      </c>
      <c r="R320">
        <f>O320-L320</f>
        <v>0</v>
      </c>
      <c r="S320">
        <f>P320-M320</f>
        <v>1</v>
      </c>
      <c r="T320">
        <v>1</v>
      </c>
      <c r="U320" s="14">
        <v>3594.16</v>
      </c>
      <c r="V320" s="14">
        <v>38</v>
      </c>
      <c r="W320" s="16">
        <v>1.1616640906502474E-5</v>
      </c>
      <c r="X320" s="16">
        <v>6.8819136066298182E-5</v>
      </c>
    </row>
    <row r="321" spans="1:24" x14ac:dyDescent="0.2">
      <c r="A321" t="s">
        <v>15</v>
      </c>
      <c r="B321" t="s">
        <v>24</v>
      </c>
      <c r="C321" t="s">
        <v>58</v>
      </c>
      <c r="D321" t="s">
        <v>150</v>
      </c>
      <c r="E321" t="s">
        <v>425</v>
      </c>
      <c r="F321" t="s">
        <v>1315</v>
      </c>
      <c r="H321" t="s">
        <v>1669</v>
      </c>
      <c r="I321" t="s">
        <v>1670</v>
      </c>
      <c r="J321" t="s">
        <v>1674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1</v>
      </c>
      <c r="Q321">
        <f>N321-K321</f>
        <v>1</v>
      </c>
      <c r="R321">
        <f>O321-L321</f>
        <v>0</v>
      </c>
      <c r="S321">
        <f>P321-M321</f>
        <v>1</v>
      </c>
      <c r="T321">
        <v>15</v>
      </c>
      <c r="U321" s="14">
        <v>16926.840000000004</v>
      </c>
      <c r="V321" s="14">
        <v>144</v>
      </c>
      <c r="W321" s="16">
        <v>5.4709034089139715E-5</v>
      </c>
      <c r="X321" s="16">
        <v>2.6078830509334048E-4</v>
      </c>
    </row>
    <row r="322" spans="1:24" x14ac:dyDescent="0.2">
      <c r="A322" t="s">
        <v>13</v>
      </c>
      <c r="B322" t="s">
        <v>20</v>
      </c>
      <c r="C322" t="s">
        <v>33</v>
      </c>
      <c r="D322" t="s">
        <v>87</v>
      </c>
      <c r="E322" t="s">
        <v>296</v>
      </c>
      <c r="F322" t="s">
        <v>1336</v>
      </c>
      <c r="H322" t="s">
        <v>1669</v>
      </c>
      <c r="I322" t="s">
        <v>1670</v>
      </c>
      <c r="J322" t="s">
        <v>1674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f>N322-K322</f>
        <v>1</v>
      </c>
      <c r="R322">
        <f>O322-L322</f>
        <v>0</v>
      </c>
      <c r="S322">
        <f>P322-M322</f>
        <v>1</v>
      </c>
      <c r="T322">
        <v>0</v>
      </c>
      <c r="U322" s="14">
        <v>0</v>
      </c>
      <c r="V322" s="14">
        <v>0</v>
      </c>
      <c r="W322" s="16">
        <v>0</v>
      </c>
      <c r="X322" s="16">
        <v>0</v>
      </c>
    </row>
    <row r="323" spans="1:24" x14ac:dyDescent="0.2">
      <c r="A323" t="s">
        <v>14</v>
      </c>
      <c r="B323" s="35" t="s">
        <v>19</v>
      </c>
      <c r="C323" t="s">
        <v>27</v>
      </c>
      <c r="D323" t="s">
        <v>134</v>
      </c>
      <c r="E323" t="s">
        <v>382</v>
      </c>
      <c r="F323" t="s">
        <v>900</v>
      </c>
      <c r="H323" t="s">
        <v>1670</v>
      </c>
      <c r="I323" t="s">
        <v>1670</v>
      </c>
      <c r="J323" t="s">
        <v>1674</v>
      </c>
      <c r="K323">
        <v>6</v>
      </c>
      <c r="L323">
        <v>0</v>
      </c>
      <c r="M323">
        <v>6</v>
      </c>
      <c r="N323">
        <v>6</v>
      </c>
      <c r="O323">
        <v>0</v>
      </c>
      <c r="P323">
        <v>6</v>
      </c>
      <c r="Q323">
        <f>N323-K323</f>
        <v>0</v>
      </c>
      <c r="R323">
        <f>O323-L323</f>
        <v>0</v>
      </c>
      <c r="S323">
        <f>P323-M323</f>
        <v>0</v>
      </c>
      <c r="T323">
        <v>17</v>
      </c>
      <c r="U323" s="14">
        <v>78407.510000000009</v>
      </c>
      <c r="V323" s="14">
        <v>716</v>
      </c>
      <c r="W323" s="16">
        <v>2.5341996128246992E-4</v>
      </c>
      <c r="X323" s="16">
        <v>1.2966974058807763E-3</v>
      </c>
    </row>
    <row r="324" spans="1:24" x14ac:dyDescent="0.2">
      <c r="A324" t="s">
        <v>16</v>
      </c>
      <c r="B324" t="s">
        <v>22</v>
      </c>
      <c r="C324" t="s">
        <v>39</v>
      </c>
      <c r="D324" t="s">
        <v>161</v>
      </c>
      <c r="E324" t="s">
        <v>455</v>
      </c>
      <c r="F324" t="s">
        <v>1353</v>
      </c>
      <c r="H324" t="s">
        <v>1670</v>
      </c>
      <c r="I324" t="s">
        <v>1671</v>
      </c>
      <c r="J324" t="s">
        <v>1674</v>
      </c>
      <c r="K324">
        <v>0</v>
      </c>
      <c r="L324">
        <v>0</v>
      </c>
      <c r="M324">
        <v>0</v>
      </c>
      <c r="N324">
        <v>7</v>
      </c>
      <c r="O324">
        <v>0</v>
      </c>
      <c r="P324">
        <v>7</v>
      </c>
      <c r="Q324">
        <f>N324-K324</f>
        <v>7</v>
      </c>
      <c r="R324">
        <f>O324-L324</f>
        <v>0</v>
      </c>
      <c r="S324">
        <f>P324-M324</f>
        <v>7</v>
      </c>
      <c r="T324">
        <v>23</v>
      </c>
      <c r="U324" s="14">
        <v>77935.999999999985</v>
      </c>
      <c r="V324" s="14">
        <v>171</v>
      </c>
      <c r="W324" s="16">
        <v>2.518959995351283E-4</v>
      </c>
      <c r="X324" s="16">
        <v>3.0968611229834184E-4</v>
      </c>
    </row>
    <row r="325" spans="1:24" x14ac:dyDescent="0.2">
      <c r="A325" t="s">
        <v>14</v>
      </c>
      <c r="B325" s="35" t="s">
        <v>19</v>
      </c>
      <c r="C325" t="s">
        <v>42</v>
      </c>
      <c r="D325" t="s">
        <v>111</v>
      </c>
      <c r="E325" t="s">
        <v>354</v>
      </c>
      <c r="F325" t="s">
        <v>861</v>
      </c>
      <c r="H325" t="s">
        <v>1670</v>
      </c>
      <c r="I325" t="s">
        <v>1670</v>
      </c>
      <c r="J325" t="s">
        <v>1674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1</v>
      </c>
      <c r="Q325">
        <f>N325-K325</f>
        <v>0</v>
      </c>
      <c r="R325">
        <f>O325-L325</f>
        <v>0</v>
      </c>
      <c r="S325">
        <f>P325-M325</f>
        <v>0</v>
      </c>
      <c r="T325">
        <v>7</v>
      </c>
      <c r="U325" s="14">
        <v>68760.75</v>
      </c>
      <c r="V325" s="14">
        <v>344</v>
      </c>
      <c r="W325" s="16">
        <v>2.2224078538846074E-4</v>
      </c>
      <c r="X325" s="16">
        <v>6.2299428438964668E-4</v>
      </c>
    </row>
    <row r="326" spans="1:24" x14ac:dyDescent="0.2">
      <c r="A326" t="s">
        <v>12</v>
      </c>
      <c r="B326" s="35" t="s">
        <v>19</v>
      </c>
      <c r="C326" t="s">
        <v>27</v>
      </c>
      <c r="D326" t="s">
        <v>65</v>
      </c>
      <c r="E326" t="s">
        <v>247</v>
      </c>
      <c r="F326" t="s">
        <v>1463</v>
      </c>
      <c r="H326" t="s">
        <v>1670</v>
      </c>
      <c r="I326" t="s">
        <v>1670</v>
      </c>
      <c r="J326" t="s">
        <v>1674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f>N326-K326</f>
        <v>0</v>
      </c>
      <c r="R326">
        <f>O326-L326</f>
        <v>0</v>
      </c>
      <c r="S326">
        <f>P326-M326</f>
        <v>0</v>
      </c>
      <c r="T326">
        <v>25</v>
      </c>
      <c r="U326" s="14">
        <v>67413.78</v>
      </c>
      <c r="V326" s="14">
        <v>948</v>
      </c>
      <c r="W326" s="16">
        <v>2.1788726000232555E-4</v>
      </c>
      <c r="X326" s="16">
        <v>1.7168563418644915E-3</v>
      </c>
    </row>
    <row r="327" spans="1:24" x14ac:dyDescent="0.2">
      <c r="A327" t="s">
        <v>16</v>
      </c>
      <c r="B327" t="s">
        <v>22</v>
      </c>
      <c r="C327" t="s">
        <v>39</v>
      </c>
      <c r="D327" t="s">
        <v>157</v>
      </c>
      <c r="E327" t="s">
        <v>439</v>
      </c>
      <c r="F327" t="s">
        <v>1004</v>
      </c>
      <c r="H327" t="s">
        <v>1670</v>
      </c>
      <c r="I327" t="s">
        <v>1670</v>
      </c>
      <c r="J327" t="s">
        <v>1674</v>
      </c>
      <c r="K327">
        <v>2</v>
      </c>
      <c r="L327">
        <v>0</v>
      </c>
      <c r="M327">
        <v>2</v>
      </c>
      <c r="N327">
        <v>3</v>
      </c>
      <c r="O327">
        <v>0</v>
      </c>
      <c r="P327">
        <v>3</v>
      </c>
      <c r="Q327">
        <f>N327-K327</f>
        <v>1</v>
      </c>
      <c r="R327">
        <f>O327-L327</f>
        <v>0</v>
      </c>
      <c r="S327">
        <f>P327-M327</f>
        <v>1</v>
      </c>
      <c r="T327">
        <v>13</v>
      </c>
      <c r="U327" s="14">
        <v>64854.260000000009</v>
      </c>
      <c r="V327" s="14">
        <v>66</v>
      </c>
      <c r="W327" s="16">
        <v>2.0961466648033124E-4</v>
      </c>
      <c r="X327" s="16">
        <v>1.1952797316778106E-4</v>
      </c>
    </row>
    <row r="328" spans="1:24" x14ac:dyDescent="0.2">
      <c r="A328" t="s">
        <v>16</v>
      </c>
      <c r="B328" t="s">
        <v>22</v>
      </c>
      <c r="C328" t="s">
        <v>39</v>
      </c>
      <c r="D328" t="s">
        <v>156</v>
      </c>
      <c r="E328" t="s">
        <v>434</v>
      </c>
      <c r="F328" t="s">
        <v>1593</v>
      </c>
      <c r="H328" t="s">
        <v>1670</v>
      </c>
      <c r="I328" t="s">
        <v>1670</v>
      </c>
      <c r="J328" t="s">
        <v>1673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2</v>
      </c>
      <c r="Q328">
        <f>N328-K328</f>
        <v>2</v>
      </c>
      <c r="R328">
        <f>O328-L328</f>
        <v>0</v>
      </c>
      <c r="S328">
        <f>P328-M328</f>
        <v>2</v>
      </c>
      <c r="T328">
        <v>25</v>
      </c>
      <c r="U328" s="14">
        <v>63693.469999999994</v>
      </c>
      <c r="V328" s="14">
        <v>60</v>
      </c>
      <c r="W328" s="16">
        <v>2.0586289121215753E-4</v>
      </c>
      <c r="X328" s="16">
        <v>1.0866179378889187E-4</v>
      </c>
    </row>
    <row r="329" spans="1:24" x14ac:dyDescent="0.2">
      <c r="A329" t="s">
        <v>16</v>
      </c>
      <c r="B329" t="s">
        <v>22</v>
      </c>
      <c r="C329" t="s">
        <v>39</v>
      </c>
      <c r="D329" t="s">
        <v>167</v>
      </c>
      <c r="E329" t="s">
        <v>462</v>
      </c>
      <c r="F329" t="s">
        <v>1474</v>
      </c>
      <c r="H329" t="s">
        <v>1670</v>
      </c>
      <c r="I329" t="s">
        <v>1670</v>
      </c>
      <c r="J329" t="s">
        <v>1674</v>
      </c>
      <c r="K329">
        <v>0</v>
      </c>
      <c r="L329">
        <v>0</v>
      </c>
      <c r="M329">
        <v>0</v>
      </c>
      <c r="N329">
        <v>3</v>
      </c>
      <c r="O329">
        <v>0</v>
      </c>
      <c r="P329">
        <v>3</v>
      </c>
      <c r="Q329">
        <f>N329-K329</f>
        <v>3</v>
      </c>
      <c r="R329">
        <f>O329-L329</f>
        <v>0</v>
      </c>
      <c r="S329">
        <f>P329-M329</f>
        <v>3</v>
      </c>
      <c r="T329">
        <v>7</v>
      </c>
      <c r="U329" s="14">
        <v>62529.16</v>
      </c>
      <c r="V329" s="14">
        <v>66</v>
      </c>
      <c r="W329" s="16">
        <v>2.0209973899471318E-4</v>
      </c>
      <c r="X329" s="16">
        <v>1.1952797316778106E-4</v>
      </c>
    </row>
    <row r="330" spans="1:24" x14ac:dyDescent="0.2">
      <c r="A330" t="s">
        <v>13</v>
      </c>
      <c r="B330" t="s">
        <v>22</v>
      </c>
      <c r="C330" t="s">
        <v>40</v>
      </c>
      <c r="D330" t="s">
        <v>221</v>
      </c>
      <c r="E330" t="s">
        <v>650</v>
      </c>
      <c r="F330" t="s">
        <v>1514</v>
      </c>
      <c r="H330" t="s">
        <v>1670</v>
      </c>
      <c r="I330" t="s">
        <v>1670</v>
      </c>
      <c r="J330" t="s">
        <v>1674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f>N330-K330</f>
        <v>0</v>
      </c>
      <c r="R330">
        <f>O330-L330</f>
        <v>0</v>
      </c>
      <c r="S330">
        <f>P330-M330</f>
        <v>0</v>
      </c>
      <c r="T330">
        <v>10</v>
      </c>
      <c r="U330" s="14">
        <v>61748.680000000008</v>
      </c>
      <c r="V330" s="14">
        <v>72</v>
      </c>
      <c r="W330" s="16">
        <v>1.9957715906095759E-4</v>
      </c>
      <c r="X330" s="16">
        <v>1.3039415254667024E-4</v>
      </c>
    </row>
    <row r="331" spans="1:24" x14ac:dyDescent="0.2">
      <c r="A331" t="s">
        <v>15</v>
      </c>
      <c r="B331" t="s">
        <v>22</v>
      </c>
      <c r="C331" t="s">
        <v>37</v>
      </c>
      <c r="D331" t="s">
        <v>153</v>
      </c>
      <c r="E331" t="s">
        <v>430</v>
      </c>
      <c r="F331" t="s">
        <v>989</v>
      </c>
      <c r="H331" t="s">
        <v>1670</v>
      </c>
      <c r="I331" t="s">
        <v>1670</v>
      </c>
      <c r="J331" t="s">
        <v>1674</v>
      </c>
      <c r="K331">
        <v>19</v>
      </c>
      <c r="L331">
        <v>0</v>
      </c>
      <c r="M331">
        <v>19</v>
      </c>
      <c r="N331">
        <v>0</v>
      </c>
      <c r="O331">
        <v>0</v>
      </c>
      <c r="P331">
        <v>0</v>
      </c>
      <c r="Q331">
        <f>N331-K331</f>
        <v>-19</v>
      </c>
      <c r="R331">
        <f>O331-L331</f>
        <v>0</v>
      </c>
      <c r="S331">
        <f>P331-M331</f>
        <v>-19</v>
      </c>
      <c r="T331">
        <v>47</v>
      </c>
      <c r="U331" s="14">
        <v>61581.270000000004</v>
      </c>
      <c r="V331" s="14">
        <v>486</v>
      </c>
      <c r="W331" s="16">
        <v>1.9903607523214707E-4</v>
      </c>
      <c r="X331" s="16">
        <v>8.801605296900241E-4</v>
      </c>
    </row>
    <row r="332" spans="1:24" x14ac:dyDescent="0.2">
      <c r="A332" t="s">
        <v>13</v>
      </c>
      <c r="B332" t="s">
        <v>20</v>
      </c>
      <c r="C332" t="s">
        <v>33</v>
      </c>
      <c r="D332" t="s">
        <v>87</v>
      </c>
      <c r="E332" t="s">
        <v>297</v>
      </c>
      <c r="F332" t="s">
        <v>1581</v>
      </c>
      <c r="H332" t="s">
        <v>1669</v>
      </c>
      <c r="I332" t="s">
        <v>1670</v>
      </c>
      <c r="J332" t="s">
        <v>1674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f>N332-K332</f>
        <v>1</v>
      </c>
      <c r="R332">
        <f>O332-L332</f>
        <v>0</v>
      </c>
      <c r="S332">
        <f>P332-M332</f>
        <v>1</v>
      </c>
      <c r="T332">
        <v>13</v>
      </c>
      <c r="U332" s="14">
        <v>65274.489999999991</v>
      </c>
      <c r="V332" s="14">
        <v>62</v>
      </c>
      <c r="W332" s="16">
        <v>2.1097288676216047E-4</v>
      </c>
      <c r="X332" s="16">
        <v>1.1228385358185493E-4</v>
      </c>
    </row>
    <row r="333" spans="1:24" x14ac:dyDescent="0.2">
      <c r="A333" t="s">
        <v>17</v>
      </c>
      <c r="B333" t="s">
        <v>23</v>
      </c>
      <c r="C333" t="s">
        <v>60</v>
      </c>
      <c r="D333" t="s">
        <v>173</v>
      </c>
      <c r="E333" t="s">
        <v>477</v>
      </c>
      <c r="F333" t="s">
        <v>1622</v>
      </c>
      <c r="H333" t="s">
        <v>1669</v>
      </c>
      <c r="I333" t="s">
        <v>1671</v>
      </c>
      <c r="J333" t="s">
        <v>1674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f>N333-K333</f>
        <v>1</v>
      </c>
      <c r="R333">
        <f>O333-L333</f>
        <v>0</v>
      </c>
      <c r="S333">
        <f>P333-M333</f>
        <v>1</v>
      </c>
      <c r="T333">
        <v>27</v>
      </c>
      <c r="U333" s="14">
        <v>47737.969999999987</v>
      </c>
      <c r="V333" s="14">
        <v>373</v>
      </c>
      <c r="W333" s="16">
        <v>1.5429331334592444E-4</v>
      </c>
      <c r="X333" s="16">
        <v>6.755141513876111E-4</v>
      </c>
    </row>
    <row r="334" spans="1:24" x14ac:dyDescent="0.2">
      <c r="A334" t="s">
        <v>13</v>
      </c>
      <c r="B334" t="s">
        <v>20</v>
      </c>
      <c r="C334" t="s">
        <v>33</v>
      </c>
      <c r="D334" t="s">
        <v>87</v>
      </c>
      <c r="E334" t="s">
        <v>299</v>
      </c>
      <c r="F334" t="s">
        <v>1626</v>
      </c>
      <c r="H334" t="s">
        <v>1669</v>
      </c>
      <c r="I334" t="s">
        <v>1670</v>
      </c>
      <c r="J334" t="s">
        <v>1674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f>N334-K334</f>
        <v>1</v>
      </c>
      <c r="R334">
        <f>O334-L334</f>
        <v>0</v>
      </c>
      <c r="S334">
        <f>P334-M334</f>
        <v>1</v>
      </c>
      <c r="T334">
        <v>4</v>
      </c>
      <c r="U334" s="14">
        <v>5254</v>
      </c>
      <c r="V334" s="14">
        <v>7</v>
      </c>
      <c r="W334" s="16">
        <v>1.6981389621709664E-5</v>
      </c>
      <c r="X334" s="16">
        <v>1.2677209275370719E-5</v>
      </c>
    </row>
    <row r="335" spans="1:24" x14ac:dyDescent="0.2">
      <c r="A335" t="s">
        <v>13</v>
      </c>
      <c r="B335" t="s">
        <v>22</v>
      </c>
      <c r="C335" t="s">
        <v>39</v>
      </c>
      <c r="D335" t="s">
        <v>106</v>
      </c>
      <c r="E335" t="s">
        <v>343</v>
      </c>
      <c r="F335" t="s">
        <v>851</v>
      </c>
      <c r="H335" t="s">
        <v>1670</v>
      </c>
      <c r="I335" t="s">
        <v>1670</v>
      </c>
      <c r="J335" t="s">
        <v>1674</v>
      </c>
      <c r="K335">
        <v>3</v>
      </c>
      <c r="L335">
        <v>0</v>
      </c>
      <c r="M335">
        <v>3</v>
      </c>
      <c r="N335">
        <v>3</v>
      </c>
      <c r="O335">
        <v>0</v>
      </c>
      <c r="P335">
        <v>3</v>
      </c>
      <c r="Q335">
        <f>N335-K335</f>
        <v>0</v>
      </c>
      <c r="R335">
        <f>O335-L335</f>
        <v>0</v>
      </c>
      <c r="S335">
        <f>P335-M335</f>
        <v>0</v>
      </c>
      <c r="T335">
        <v>9</v>
      </c>
      <c r="U335" s="14">
        <v>58235.18</v>
      </c>
      <c r="V335" s="14">
        <v>55</v>
      </c>
      <c r="W335" s="16">
        <v>1.882212183613236E-4</v>
      </c>
      <c r="X335" s="16">
        <v>9.9606644306484218E-5</v>
      </c>
    </row>
    <row r="336" spans="1:24" x14ac:dyDescent="0.2">
      <c r="A336" t="s">
        <v>15</v>
      </c>
      <c r="B336" t="s">
        <v>24</v>
      </c>
      <c r="C336" t="s">
        <v>58</v>
      </c>
      <c r="D336" t="s">
        <v>150</v>
      </c>
      <c r="E336" t="s">
        <v>425</v>
      </c>
      <c r="F336" t="s">
        <v>1645</v>
      </c>
      <c r="G336" t="s">
        <v>1719</v>
      </c>
      <c r="H336" t="s">
        <v>1669</v>
      </c>
      <c r="I336" t="s">
        <v>1671</v>
      </c>
      <c r="J336" t="s">
        <v>1674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f>N336-K336</f>
        <v>1</v>
      </c>
      <c r="R336">
        <f>O336-L336</f>
        <v>0</v>
      </c>
      <c r="S336">
        <f>P336-M336</f>
        <v>1</v>
      </c>
      <c r="T336">
        <v>1</v>
      </c>
      <c r="U336" s="14">
        <v>19847.93</v>
      </c>
      <c r="V336" s="14">
        <v>43</v>
      </c>
      <c r="W336" s="16">
        <v>6.4150253619036905E-5</v>
      </c>
      <c r="X336" s="16">
        <v>7.7874285548705836E-5</v>
      </c>
    </row>
    <row r="337" spans="1:24" x14ac:dyDescent="0.2">
      <c r="A337" t="s">
        <v>15</v>
      </c>
      <c r="B337" t="s">
        <v>24</v>
      </c>
      <c r="C337" t="s">
        <v>58</v>
      </c>
      <c r="D337" t="s">
        <v>169</v>
      </c>
      <c r="E337" t="s">
        <v>690</v>
      </c>
      <c r="F337" t="s">
        <v>690</v>
      </c>
      <c r="H337" t="s">
        <v>1669</v>
      </c>
      <c r="I337" t="s">
        <v>1670</v>
      </c>
      <c r="J337" t="s">
        <v>1674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1</v>
      </c>
      <c r="Q337">
        <f>N337-K337</f>
        <v>1</v>
      </c>
      <c r="R337">
        <f>O337-L337</f>
        <v>0</v>
      </c>
      <c r="S337">
        <f>P337-M337</f>
        <v>1</v>
      </c>
      <c r="T337">
        <v>6</v>
      </c>
      <c r="U337" s="14">
        <v>1191</v>
      </c>
      <c r="V337" s="14">
        <v>8</v>
      </c>
      <c r="W337" s="16">
        <v>3.8494166424545509E-6</v>
      </c>
      <c r="X337" s="16">
        <v>1.4488239171852249E-5</v>
      </c>
    </row>
    <row r="338" spans="1:24" x14ac:dyDescent="0.2">
      <c r="A338" t="s">
        <v>16</v>
      </c>
      <c r="B338" s="2" t="s">
        <v>22</v>
      </c>
      <c r="C338" s="2" t="s">
        <v>39</v>
      </c>
      <c r="D338" s="2" t="s">
        <v>157</v>
      </c>
      <c r="E338" s="2" t="s">
        <v>442</v>
      </c>
      <c r="F338" s="2" t="s">
        <v>1688</v>
      </c>
      <c r="G338" s="2"/>
      <c r="H338" t="s">
        <v>1669</v>
      </c>
      <c r="I338" s="3">
        <v>0</v>
      </c>
      <c r="J338" t="s">
        <v>1674</v>
      </c>
      <c r="K338">
        <v>1</v>
      </c>
      <c r="L338">
        <v>0</v>
      </c>
      <c r="M338">
        <v>1</v>
      </c>
      <c r="N338">
        <v>2</v>
      </c>
      <c r="O338">
        <v>0</v>
      </c>
      <c r="P338">
        <v>2</v>
      </c>
      <c r="Q338">
        <f>N338-K338</f>
        <v>1</v>
      </c>
      <c r="R338">
        <f>O338-L338</f>
        <v>0</v>
      </c>
      <c r="S338">
        <f>P338-M338</f>
        <v>1</v>
      </c>
      <c r="T338">
        <v>124</v>
      </c>
      <c r="U338" s="14">
        <v>463025.65</v>
      </c>
      <c r="V338" s="14">
        <v>989</v>
      </c>
      <c r="W338" s="16">
        <v>1.4965395826980151E-3</v>
      </c>
      <c r="X338" s="16">
        <v>1.7911085676202343E-3</v>
      </c>
    </row>
    <row r="339" spans="1:24" x14ac:dyDescent="0.2">
      <c r="A339" t="s">
        <v>12</v>
      </c>
      <c r="B339" t="s">
        <v>18</v>
      </c>
      <c r="C339" t="s">
        <v>32</v>
      </c>
      <c r="D339" t="s">
        <v>83</v>
      </c>
      <c r="E339" t="s">
        <v>284</v>
      </c>
      <c r="F339" t="s">
        <v>736</v>
      </c>
      <c r="H339" t="s">
        <v>1669</v>
      </c>
      <c r="I339" t="s">
        <v>1670</v>
      </c>
      <c r="J339" t="s">
        <v>1674</v>
      </c>
      <c r="K339">
        <v>1</v>
      </c>
      <c r="L339">
        <v>1</v>
      </c>
      <c r="M339">
        <v>2</v>
      </c>
      <c r="N339">
        <v>3</v>
      </c>
      <c r="O339">
        <v>0</v>
      </c>
      <c r="P339">
        <v>3</v>
      </c>
      <c r="Q339">
        <f>N339-K339</f>
        <v>2</v>
      </c>
      <c r="R339">
        <f>O339-L339</f>
        <v>-1</v>
      </c>
      <c r="S339">
        <f>P339-M339</f>
        <v>1</v>
      </c>
      <c r="T339">
        <v>120</v>
      </c>
      <c r="U339" s="14">
        <v>343466.70000000013</v>
      </c>
      <c r="V339" s="14">
        <v>942</v>
      </c>
      <c r="W339" s="16">
        <v>1.1101145517287531E-3</v>
      </c>
      <c r="X339" s="16">
        <v>1.7059901624856023E-3</v>
      </c>
    </row>
    <row r="340" spans="1:24" x14ac:dyDescent="0.2">
      <c r="A340" t="s">
        <v>12</v>
      </c>
      <c r="B340" t="s">
        <v>18</v>
      </c>
      <c r="C340" t="s">
        <v>32</v>
      </c>
      <c r="D340" t="s">
        <v>83</v>
      </c>
      <c r="E340" t="s">
        <v>287</v>
      </c>
      <c r="F340" t="s">
        <v>744</v>
      </c>
      <c r="H340" t="s">
        <v>1669</v>
      </c>
      <c r="I340" t="s">
        <v>1670</v>
      </c>
      <c r="J340" t="s">
        <v>1674</v>
      </c>
      <c r="K340">
        <v>1</v>
      </c>
      <c r="L340">
        <v>2</v>
      </c>
      <c r="M340">
        <v>3</v>
      </c>
      <c r="N340">
        <v>3</v>
      </c>
      <c r="O340">
        <v>1</v>
      </c>
      <c r="P340">
        <v>4</v>
      </c>
      <c r="Q340">
        <f>N340-K340</f>
        <v>2</v>
      </c>
      <c r="R340">
        <f>O340-L340</f>
        <v>-1</v>
      </c>
      <c r="S340">
        <f>P340-M340</f>
        <v>1</v>
      </c>
      <c r="T340">
        <v>11</v>
      </c>
      <c r="U340" s="14">
        <v>76361.210000000006</v>
      </c>
      <c r="V340" s="14">
        <v>123</v>
      </c>
      <c r="W340" s="16">
        <v>2.4680613989249946E-4</v>
      </c>
      <c r="X340" s="16">
        <v>2.2275667726722834E-4</v>
      </c>
    </row>
    <row r="341" spans="1:24" x14ac:dyDescent="0.2">
      <c r="A341" t="s">
        <v>15</v>
      </c>
      <c r="B341" t="s">
        <v>24</v>
      </c>
      <c r="C341" t="s">
        <v>58</v>
      </c>
      <c r="D341" t="s">
        <v>150</v>
      </c>
      <c r="E341" t="s">
        <v>135</v>
      </c>
      <c r="F341" t="s">
        <v>966</v>
      </c>
      <c r="H341" t="s">
        <v>1669</v>
      </c>
      <c r="I341" t="s">
        <v>1670</v>
      </c>
      <c r="J341" t="s">
        <v>1674</v>
      </c>
      <c r="K341">
        <v>1</v>
      </c>
      <c r="L341">
        <v>1</v>
      </c>
      <c r="M341">
        <v>2</v>
      </c>
      <c r="N341">
        <v>3</v>
      </c>
      <c r="O341">
        <v>0</v>
      </c>
      <c r="P341">
        <v>3</v>
      </c>
      <c r="Q341">
        <f>N341-K341</f>
        <v>2</v>
      </c>
      <c r="R341">
        <f>O341-L341</f>
        <v>-1</v>
      </c>
      <c r="S341">
        <f>P341-M341</f>
        <v>1</v>
      </c>
      <c r="T341">
        <v>15</v>
      </c>
      <c r="U341" s="14">
        <v>13743.76</v>
      </c>
      <c r="V341" s="14">
        <v>41</v>
      </c>
      <c r="W341" s="16">
        <v>4.4421039860538332E-5</v>
      </c>
      <c r="X341" s="16">
        <v>7.4252225755742774E-5</v>
      </c>
    </row>
    <row r="342" spans="1:24" x14ac:dyDescent="0.2">
      <c r="A342" t="s">
        <v>12</v>
      </c>
      <c r="B342" t="s">
        <v>19</v>
      </c>
      <c r="C342" t="s">
        <v>28</v>
      </c>
      <c r="D342" t="s">
        <v>78</v>
      </c>
      <c r="E342" t="s">
        <v>527</v>
      </c>
      <c r="F342" t="s">
        <v>1155</v>
      </c>
      <c r="H342" t="s">
        <v>1669</v>
      </c>
      <c r="I342" t="s">
        <v>1670</v>
      </c>
      <c r="J342" t="s">
        <v>1674</v>
      </c>
      <c r="K342">
        <v>0</v>
      </c>
      <c r="L342">
        <v>2</v>
      </c>
      <c r="M342">
        <v>2</v>
      </c>
      <c r="N342">
        <v>2</v>
      </c>
      <c r="O342">
        <v>1</v>
      </c>
      <c r="P342">
        <v>3</v>
      </c>
      <c r="Q342">
        <f>N342-K342</f>
        <v>2</v>
      </c>
      <c r="R342">
        <f>O342-L342</f>
        <v>-1</v>
      </c>
      <c r="S342">
        <f>P342-M342</f>
        <v>1</v>
      </c>
      <c r="T342">
        <v>7</v>
      </c>
      <c r="U342" s="14">
        <v>34147.210000000006</v>
      </c>
      <c r="V342" s="14">
        <v>70</v>
      </c>
      <c r="W342" s="16">
        <v>1.1036678292811964E-4</v>
      </c>
      <c r="X342" s="16">
        <v>1.2677209275370718E-4</v>
      </c>
    </row>
    <row r="343" spans="1:24" x14ac:dyDescent="0.2">
      <c r="A343" t="s">
        <v>17</v>
      </c>
      <c r="B343" t="s">
        <v>24</v>
      </c>
      <c r="C343" t="s">
        <v>49</v>
      </c>
      <c r="D343" t="s">
        <v>152</v>
      </c>
      <c r="E343" t="s">
        <v>485</v>
      </c>
      <c r="F343" t="s">
        <v>1161</v>
      </c>
      <c r="G343" t="s">
        <v>1719</v>
      </c>
      <c r="H343" t="s">
        <v>1669</v>
      </c>
      <c r="I343" t="s">
        <v>1671</v>
      </c>
      <c r="J343" t="s">
        <v>1673</v>
      </c>
      <c r="K343">
        <v>0</v>
      </c>
      <c r="L343">
        <v>1</v>
      </c>
      <c r="M343">
        <v>1</v>
      </c>
      <c r="N343">
        <v>2</v>
      </c>
      <c r="O343">
        <v>0</v>
      </c>
      <c r="P343">
        <v>2</v>
      </c>
      <c r="Q343">
        <f>N343-K343</f>
        <v>2</v>
      </c>
      <c r="R343">
        <f>O343-L343</f>
        <v>-1</v>
      </c>
      <c r="S343">
        <f>P343-M343</f>
        <v>1</v>
      </c>
      <c r="T343">
        <v>119</v>
      </c>
      <c r="U343" s="14">
        <v>343974.18</v>
      </c>
      <c r="V343" s="14">
        <v>499</v>
      </c>
      <c r="W343" s="16">
        <v>1.1117547716764545E-3</v>
      </c>
      <c r="X343" s="16">
        <v>9.0370391834428403E-4</v>
      </c>
    </row>
    <row r="344" spans="1:24" x14ac:dyDescent="0.2">
      <c r="A344" t="s">
        <v>13</v>
      </c>
      <c r="B344" t="s">
        <v>20</v>
      </c>
      <c r="C344" t="s">
        <v>33</v>
      </c>
      <c r="D344" t="s">
        <v>87</v>
      </c>
      <c r="E344" t="s">
        <v>298</v>
      </c>
      <c r="F344" t="s">
        <v>1162</v>
      </c>
      <c r="H344" t="s">
        <v>1669</v>
      </c>
      <c r="I344" t="s">
        <v>1670</v>
      </c>
      <c r="J344" t="s">
        <v>1674</v>
      </c>
      <c r="K344">
        <v>0</v>
      </c>
      <c r="L344">
        <v>1</v>
      </c>
      <c r="M344">
        <v>1</v>
      </c>
      <c r="N344">
        <v>2</v>
      </c>
      <c r="O344">
        <v>0</v>
      </c>
      <c r="P344">
        <v>2</v>
      </c>
      <c r="Q344">
        <f>N344-K344</f>
        <v>2</v>
      </c>
      <c r="R344">
        <f>O344-L344</f>
        <v>-1</v>
      </c>
      <c r="S344">
        <f>P344-M344</f>
        <v>1</v>
      </c>
      <c r="T344">
        <v>2</v>
      </c>
      <c r="U344" s="14">
        <v>8404</v>
      </c>
      <c r="V344" s="14">
        <v>6</v>
      </c>
      <c r="W344" s="16">
        <v>2.7162466383869053E-5</v>
      </c>
      <c r="X344" s="16">
        <v>1.0866179378889186E-5</v>
      </c>
    </row>
    <row r="345" spans="1:24" x14ac:dyDescent="0.2">
      <c r="A345" t="s">
        <v>12</v>
      </c>
      <c r="B345" t="s">
        <v>19</v>
      </c>
      <c r="C345" t="s">
        <v>28</v>
      </c>
      <c r="D345" t="s">
        <v>193</v>
      </c>
      <c r="E345" t="s">
        <v>537</v>
      </c>
      <c r="F345" t="s">
        <v>537</v>
      </c>
      <c r="H345" t="s">
        <v>1669</v>
      </c>
      <c r="I345" t="s">
        <v>1670</v>
      </c>
      <c r="J345" t="s">
        <v>1674</v>
      </c>
      <c r="K345">
        <v>0</v>
      </c>
      <c r="L345">
        <v>1</v>
      </c>
      <c r="M345">
        <v>1</v>
      </c>
      <c r="N345">
        <v>2</v>
      </c>
      <c r="O345">
        <v>0</v>
      </c>
      <c r="P345">
        <v>2</v>
      </c>
      <c r="Q345">
        <f>N345-K345</f>
        <v>2</v>
      </c>
      <c r="R345">
        <f>O345-L345</f>
        <v>-1</v>
      </c>
      <c r="S345">
        <f>P345-M345</f>
        <v>1</v>
      </c>
      <c r="T345">
        <v>13</v>
      </c>
      <c r="U345" s="14">
        <v>28897.74</v>
      </c>
      <c r="V345" s="14">
        <v>80</v>
      </c>
      <c r="W345" s="16">
        <v>9.3400034664420294E-5</v>
      </c>
      <c r="X345" s="16">
        <v>1.4488239171852249E-4</v>
      </c>
    </row>
    <row r="346" spans="1:24" x14ac:dyDescent="0.2">
      <c r="A346" t="s">
        <v>12</v>
      </c>
      <c r="B346" t="s">
        <v>19</v>
      </c>
      <c r="C346" t="s">
        <v>28</v>
      </c>
      <c r="D346" t="s">
        <v>191</v>
      </c>
      <c r="E346" t="s">
        <v>523</v>
      </c>
      <c r="F346" t="s">
        <v>1176</v>
      </c>
      <c r="H346" t="s">
        <v>1669</v>
      </c>
      <c r="I346" t="s">
        <v>1671</v>
      </c>
      <c r="J346" t="s">
        <v>1674</v>
      </c>
      <c r="K346">
        <v>0</v>
      </c>
      <c r="L346">
        <v>1</v>
      </c>
      <c r="M346">
        <v>1</v>
      </c>
      <c r="N346">
        <v>2</v>
      </c>
      <c r="O346">
        <v>0</v>
      </c>
      <c r="P346">
        <v>2</v>
      </c>
      <c r="Q346">
        <f>N346-K346</f>
        <v>2</v>
      </c>
      <c r="R346">
        <f>O346-L346</f>
        <v>-1</v>
      </c>
      <c r="S346">
        <f>P346-M346</f>
        <v>1</v>
      </c>
      <c r="T346">
        <v>4</v>
      </c>
      <c r="U346" s="14">
        <v>10082</v>
      </c>
      <c r="V346" s="14">
        <v>18</v>
      </c>
      <c r="W346" s="16">
        <v>3.258590981463206E-5</v>
      </c>
      <c r="X346" s="16">
        <v>3.259853813666756E-5</v>
      </c>
    </row>
    <row r="347" spans="1:24" x14ac:dyDescent="0.2">
      <c r="A347" t="s">
        <v>12</v>
      </c>
      <c r="B347" t="s">
        <v>18</v>
      </c>
      <c r="C347" t="s">
        <v>32</v>
      </c>
      <c r="D347" t="s">
        <v>83</v>
      </c>
      <c r="E347" t="s">
        <v>61</v>
      </c>
      <c r="F347" t="s">
        <v>1183</v>
      </c>
      <c r="H347" t="s">
        <v>1669</v>
      </c>
      <c r="I347" t="s">
        <v>1670</v>
      </c>
      <c r="J347" t="s">
        <v>1674</v>
      </c>
      <c r="K347">
        <v>0</v>
      </c>
      <c r="L347">
        <v>2</v>
      </c>
      <c r="M347">
        <v>2</v>
      </c>
      <c r="N347">
        <v>2</v>
      </c>
      <c r="O347">
        <v>1</v>
      </c>
      <c r="P347">
        <v>3</v>
      </c>
      <c r="Q347">
        <f>N347-K347</f>
        <v>2</v>
      </c>
      <c r="R347">
        <f>O347-L347</f>
        <v>-1</v>
      </c>
      <c r="S347">
        <f>P347-M347</f>
        <v>1</v>
      </c>
      <c r="T347">
        <v>17</v>
      </c>
      <c r="U347" s="14">
        <v>51833.31</v>
      </c>
      <c r="V347" s="14">
        <v>174</v>
      </c>
      <c r="W347" s="16">
        <v>1.6752981204660444E-4</v>
      </c>
      <c r="X347" s="16">
        <v>3.151192019877864E-4</v>
      </c>
    </row>
    <row r="348" spans="1:24" x14ac:dyDescent="0.2">
      <c r="A348" t="s">
        <v>17</v>
      </c>
      <c r="B348" t="s">
        <v>24</v>
      </c>
      <c r="C348" t="s">
        <v>49</v>
      </c>
      <c r="D348" t="s">
        <v>152</v>
      </c>
      <c r="E348" t="s">
        <v>487</v>
      </c>
      <c r="F348" t="s">
        <v>1187</v>
      </c>
      <c r="G348" t="s">
        <v>1719</v>
      </c>
      <c r="H348" t="s">
        <v>1669</v>
      </c>
      <c r="I348" t="s">
        <v>1671</v>
      </c>
      <c r="J348" t="s">
        <v>1673</v>
      </c>
      <c r="K348">
        <v>0</v>
      </c>
      <c r="L348">
        <v>1</v>
      </c>
      <c r="M348">
        <v>1</v>
      </c>
      <c r="N348">
        <v>2</v>
      </c>
      <c r="O348">
        <v>0</v>
      </c>
      <c r="P348">
        <v>2</v>
      </c>
      <c r="Q348">
        <f>N348-K348</f>
        <v>2</v>
      </c>
      <c r="R348">
        <f>O348-L348</f>
        <v>-1</v>
      </c>
      <c r="S348">
        <f>P348-M348</f>
        <v>1</v>
      </c>
      <c r="T348">
        <v>0</v>
      </c>
      <c r="U348" s="14">
        <v>0</v>
      </c>
      <c r="V348" s="14">
        <v>0</v>
      </c>
      <c r="W348" s="16">
        <v>0</v>
      </c>
      <c r="X348" s="16">
        <v>0</v>
      </c>
    </row>
    <row r="349" spans="1:24" x14ac:dyDescent="0.2">
      <c r="A349" t="s">
        <v>12</v>
      </c>
      <c r="B349" t="s">
        <v>19</v>
      </c>
      <c r="C349" t="s">
        <v>28</v>
      </c>
      <c r="D349" t="s">
        <v>71</v>
      </c>
      <c r="E349" t="s">
        <v>258</v>
      </c>
      <c r="F349" t="s">
        <v>1201</v>
      </c>
      <c r="H349" t="s">
        <v>1669</v>
      </c>
      <c r="I349" t="s">
        <v>1671</v>
      </c>
      <c r="J349" t="s">
        <v>1674</v>
      </c>
      <c r="K349">
        <v>0</v>
      </c>
      <c r="L349">
        <v>1</v>
      </c>
      <c r="M349">
        <v>1</v>
      </c>
      <c r="N349">
        <v>2</v>
      </c>
      <c r="O349">
        <v>0</v>
      </c>
      <c r="P349">
        <v>2</v>
      </c>
      <c r="Q349">
        <f>N349-K349</f>
        <v>2</v>
      </c>
      <c r="R349">
        <f>O349-L349</f>
        <v>-1</v>
      </c>
      <c r="S349">
        <f>P349-M349</f>
        <v>1</v>
      </c>
      <c r="T349">
        <v>44</v>
      </c>
      <c r="U349" s="14">
        <v>95038.810000000012</v>
      </c>
      <c r="V349" s="14">
        <v>336</v>
      </c>
      <c r="W349" s="16">
        <v>3.0717378412516882E-4</v>
      </c>
      <c r="X349" s="16">
        <v>6.0850604521779444E-4</v>
      </c>
    </row>
    <row r="350" spans="1:24" x14ac:dyDescent="0.2">
      <c r="A350" t="s">
        <v>14</v>
      </c>
      <c r="B350" t="s">
        <v>19</v>
      </c>
      <c r="C350" t="s">
        <v>48</v>
      </c>
      <c r="D350" t="s">
        <v>132</v>
      </c>
      <c r="E350" t="s">
        <v>541</v>
      </c>
      <c r="F350" t="s">
        <v>1204</v>
      </c>
      <c r="H350" t="s">
        <v>1669</v>
      </c>
      <c r="I350" t="s">
        <v>1670</v>
      </c>
      <c r="J350" t="s">
        <v>1674</v>
      </c>
      <c r="K350">
        <v>0</v>
      </c>
      <c r="L350">
        <v>1</v>
      </c>
      <c r="M350">
        <v>1</v>
      </c>
      <c r="N350">
        <v>2</v>
      </c>
      <c r="O350">
        <v>0</v>
      </c>
      <c r="P350">
        <v>2</v>
      </c>
      <c r="Q350">
        <f>N350-K350</f>
        <v>2</v>
      </c>
      <c r="R350">
        <f>O350-L350</f>
        <v>-1</v>
      </c>
      <c r="S350">
        <f>P350-M350</f>
        <v>1</v>
      </c>
      <c r="T350">
        <v>187</v>
      </c>
      <c r="U350" s="14">
        <v>353311.00999999995</v>
      </c>
      <c r="V350" s="14">
        <v>1744</v>
      </c>
      <c r="W350" s="16">
        <v>1.1419322265797027E-3</v>
      </c>
      <c r="X350" s="16">
        <v>3.1584361394637901E-3</v>
      </c>
    </row>
    <row r="351" spans="1:24" x14ac:dyDescent="0.2">
      <c r="A351" t="s">
        <v>14</v>
      </c>
      <c r="B351" t="s">
        <v>19</v>
      </c>
      <c r="C351" t="s">
        <v>48</v>
      </c>
      <c r="D351" t="s">
        <v>131</v>
      </c>
      <c r="E351" t="s">
        <v>549</v>
      </c>
      <c r="F351" t="s">
        <v>1208</v>
      </c>
      <c r="H351" t="s">
        <v>1669</v>
      </c>
      <c r="I351" t="s">
        <v>1670</v>
      </c>
      <c r="J351" t="s">
        <v>1674</v>
      </c>
      <c r="K351">
        <v>0</v>
      </c>
      <c r="L351">
        <v>2</v>
      </c>
      <c r="M351">
        <v>2</v>
      </c>
      <c r="N351">
        <v>2</v>
      </c>
      <c r="O351">
        <v>1</v>
      </c>
      <c r="P351">
        <v>3</v>
      </c>
      <c r="Q351">
        <f>N351-K351</f>
        <v>2</v>
      </c>
      <c r="R351">
        <f>O351-L351</f>
        <v>-1</v>
      </c>
      <c r="S351">
        <f>P351-M351</f>
        <v>1</v>
      </c>
      <c r="T351">
        <v>21</v>
      </c>
      <c r="U351" s="14">
        <v>36570.060000000012</v>
      </c>
      <c r="V351" s="14">
        <v>297</v>
      </c>
      <c r="W351" s="16">
        <v>1.1819764700215073E-4</v>
      </c>
      <c r="X351" s="16">
        <v>5.3787587925501477E-4</v>
      </c>
    </row>
    <row r="352" spans="1:24" x14ac:dyDescent="0.2">
      <c r="A352" t="s">
        <v>17</v>
      </c>
      <c r="B352" t="s">
        <v>24</v>
      </c>
      <c r="C352" t="s">
        <v>49</v>
      </c>
      <c r="D352" t="s">
        <v>152</v>
      </c>
      <c r="E352" t="s">
        <v>486</v>
      </c>
      <c r="F352" t="s">
        <v>1224</v>
      </c>
      <c r="H352" t="s">
        <v>1669</v>
      </c>
      <c r="I352" t="s">
        <v>1670</v>
      </c>
      <c r="J352" t="s">
        <v>1674</v>
      </c>
      <c r="K352">
        <v>0</v>
      </c>
      <c r="L352">
        <v>1</v>
      </c>
      <c r="M352">
        <v>1</v>
      </c>
      <c r="N352">
        <v>2</v>
      </c>
      <c r="O352">
        <v>0</v>
      </c>
      <c r="P352">
        <v>2</v>
      </c>
      <c r="Q352">
        <f>N352-K352</f>
        <v>2</v>
      </c>
      <c r="R352">
        <f>O352-L352</f>
        <v>-1</v>
      </c>
      <c r="S352">
        <f>P352-M352</f>
        <v>1</v>
      </c>
      <c r="T352">
        <v>5</v>
      </c>
      <c r="U352" s="14">
        <v>4494.8500000000004</v>
      </c>
      <c r="V352" s="14">
        <v>40</v>
      </c>
      <c r="W352" s="16">
        <v>1.4527750122029252E-5</v>
      </c>
      <c r="X352" s="16">
        <v>7.2441195859261243E-5</v>
      </c>
    </row>
    <row r="353" spans="1:24" x14ac:dyDescent="0.2">
      <c r="A353" t="s">
        <v>12</v>
      </c>
      <c r="B353" t="s">
        <v>19</v>
      </c>
      <c r="C353" t="s">
        <v>28</v>
      </c>
      <c r="D353" t="s">
        <v>191</v>
      </c>
      <c r="E353" t="s">
        <v>523</v>
      </c>
      <c r="F353" t="s">
        <v>1267</v>
      </c>
      <c r="H353" t="s">
        <v>1669</v>
      </c>
      <c r="I353" t="s">
        <v>1671</v>
      </c>
      <c r="J353" t="s">
        <v>1674</v>
      </c>
      <c r="K353">
        <v>0</v>
      </c>
      <c r="L353">
        <v>1</v>
      </c>
      <c r="M353">
        <v>1</v>
      </c>
      <c r="N353">
        <v>2</v>
      </c>
      <c r="O353">
        <v>0</v>
      </c>
      <c r="P353">
        <v>2</v>
      </c>
      <c r="Q353">
        <f>N353-K353</f>
        <v>2</v>
      </c>
      <c r="R353">
        <f>O353-L353</f>
        <v>-1</v>
      </c>
      <c r="S353">
        <f>P353-M353</f>
        <v>1</v>
      </c>
      <c r="T353">
        <v>6</v>
      </c>
      <c r="U353" s="14">
        <v>30209.35</v>
      </c>
      <c r="V353" s="14">
        <v>145</v>
      </c>
      <c r="W353" s="16">
        <v>9.7639273423790409E-5</v>
      </c>
      <c r="X353" s="16">
        <v>2.6259933498982199E-4</v>
      </c>
    </row>
    <row r="354" spans="1:24" x14ac:dyDescent="0.2">
      <c r="A354" t="s">
        <v>12</v>
      </c>
      <c r="B354" t="s">
        <v>19</v>
      </c>
      <c r="C354" t="s">
        <v>28</v>
      </c>
      <c r="D354" t="s">
        <v>71</v>
      </c>
      <c r="E354" t="s">
        <v>258</v>
      </c>
      <c r="F354" t="s">
        <v>1269</v>
      </c>
      <c r="H354" t="s">
        <v>1669</v>
      </c>
      <c r="I354" t="s">
        <v>1671</v>
      </c>
      <c r="J354" t="s">
        <v>1674</v>
      </c>
      <c r="K354">
        <v>0</v>
      </c>
      <c r="L354">
        <v>1</v>
      </c>
      <c r="M354">
        <v>1</v>
      </c>
      <c r="N354">
        <v>2</v>
      </c>
      <c r="O354">
        <v>0</v>
      </c>
      <c r="P354">
        <v>2</v>
      </c>
      <c r="Q354">
        <f>N354-K354</f>
        <v>2</v>
      </c>
      <c r="R354">
        <f>O354-L354</f>
        <v>-1</v>
      </c>
      <c r="S354">
        <f>P354-M354</f>
        <v>1</v>
      </c>
      <c r="T354">
        <v>7</v>
      </c>
      <c r="U354" s="14">
        <v>55471.689999999995</v>
      </c>
      <c r="V354" s="14">
        <v>97</v>
      </c>
      <c r="W354" s="16">
        <v>1.7928937587832045E-4</v>
      </c>
      <c r="X354" s="16">
        <v>1.7566989995870851E-4</v>
      </c>
    </row>
    <row r="355" spans="1:24" x14ac:dyDescent="0.2">
      <c r="A355" t="s">
        <v>12</v>
      </c>
      <c r="B355" t="s">
        <v>18</v>
      </c>
      <c r="C355" t="s">
        <v>32</v>
      </c>
      <c r="D355" t="s">
        <v>83</v>
      </c>
      <c r="E355" t="s">
        <v>61</v>
      </c>
      <c r="F355" t="s">
        <v>1273</v>
      </c>
      <c r="H355" t="s">
        <v>1669</v>
      </c>
      <c r="I355" t="s">
        <v>1670</v>
      </c>
      <c r="J355" t="s">
        <v>1674</v>
      </c>
      <c r="K355">
        <v>0</v>
      </c>
      <c r="L355">
        <v>2</v>
      </c>
      <c r="M355">
        <v>2</v>
      </c>
      <c r="N355">
        <v>2</v>
      </c>
      <c r="O355">
        <v>1</v>
      </c>
      <c r="P355">
        <v>3</v>
      </c>
      <c r="Q355">
        <f>N355-K355</f>
        <v>2</v>
      </c>
      <c r="R355">
        <f>O355-L355</f>
        <v>-1</v>
      </c>
      <c r="S355">
        <f>P355-M355</f>
        <v>1</v>
      </c>
      <c r="T355">
        <v>0</v>
      </c>
      <c r="U355" s="14">
        <v>0</v>
      </c>
      <c r="V355" s="14">
        <v>0</v>
      </c>
      <c r="W355" s="16">
        <v>0</v>
      </c>
      <c r="X355" s="16">
        <v>0</v>
      </c>
    </row>
    <row r="356" spans="1:24" x14ac:dyDescent="0.2">
      <c r="A356" t="s">
        <v>12</v>
      </c>
      <c r="B356" t="s">
        <v>18</v>
      </c>
      <c r="C356" t="s">
        <v>32</v>
      </c>
      <c r="D356" t="s">
        <v>83</v>
      </c>
      <c r="E356" t="s">
        <v>61</v>
      </c>
      <c r="F356" t="s">
        <v>1279</v>
      </c>
      <c r="H356" t="s">
        <v>1669</v>
      </c>
      <c r="I356" t="s">
        <v>1670</v>
      </c>
      <c r="J356" t="s">
        <v>1674</v>
      </c>
      <c r="K356">
        <v>0</v>
      </c>
      <c r="L356">
        <v>2</v>
      </c>
      <c r="M356">
        <v>2</v>
      </c>
      <c r="N356">
        <v>2</v>
      </c>
      <c r="O356">
        <v>1</v>
      </c>
      <c r="P356">
        <v>3</v>
      </c>
      <c r="Q356">
        <f>N356-K356</f>
        <v>2</v>
      </c>
      <c r="R356">
        <f>O356-L356</f>
        <v>-1</v>
      </c>
      <c r="S356">
        <f>P356-M356</f>
        <v>1</v>
      </c>
      <c r="T356">
        <v>91</v>
      </c>
      <c r="U356" s="14">
        <v>637979.75999999989</v>
      </c>
      <c r="V356" s="14">
        <v>840</v>
      </c>
      <c r="W356" s="16">
        <v>2.062006637861595E-3</v>
      </c>
      <c r="X356" s="16">
        <v>1.521265113044486E-3</v>
      </c>
    </row>
    <row r="357" spans="1:24" x14ac:dyDescent="0.2">
      <c r="A357" t="s">
        <v>13</v>
      </c>
      <c r="B357" t="s">
        <v>20</v>
      </c>
      <c r="C357" t="s">
        <v>33</v>
      </c>
      <c r="D357" t="s">
        <v>87</v>
      </c>
      <c r="E357" t="s">
        <v>297</v>
      </c>
      <c r="F357" t="s">
        <v>1308</v>
      </c>
      <c r="H357" t="s">
        <v>1669</v>
      </c>
      <c r="I357" t="s">
        <v>1670</v>
      </c>
      <c r="J357" t="s">
        <v>1674</v>
      </c>
      <c r="K357">
        <v>0</v>
      </c>
      <c r="L357">
        <v>1</v>
      </c>
      <c r="M357">
        <v>1</v>
      </c>
      <c r="N357">
        <v>2</v>
      </c>
      <c r="O357">
        <v>0</v>
      </c>
      <c r="P357">
        <v>2</v>
      </c>
      <c r="Q357">
        <f>N357-K357</f>
        <v>2</v>
      </c>
      <c r="R357">
        <f>O357-L357</f>
        <v>-1</v>
      </c>
      <c r="S357">
        <f>P357-M357</f>
        <v>1</v>
      </c>
      <c r="T357">
        <v>9</v>
      </c>
      <c r="U357" s="14">
        <v>97798.06</v>
      </c>
      <c r="V357" s="14">
        <v>115</v>
      </c>
      <c r="W357" s="16">
        <v>3.1609192255564121E-4</v>
      </c>
      <c r="X357" s="16">
        <v>2.0826843809537609E-4</v>
      </c>
    </row>
    <row r="358" spans="1:24" x14ac:dyDescent="0.2">
      <c r="A358" t="s">
        <v>14</v>
      </c>
      <c r="B358" t="s">
        <v>19</v>
      </c>
      <c r="C358" t="s">
        <v>48</v>
      </c>
      <c r="D358" t="s">
        <v>132</v>
      </c>
      <c r="E358" t="s">
        <v>539</v>
      </c>
      <c r="F358" t="s">
        <v>1192</v>
      </c>
      <c r="H358" t="s">
        <v>1669</v>
      </c>
      <c r="I358" t="s">
        <v>1670</v>
      </c>
      <c r="J358" t="s">
        <v>1674</v>
      </c>
      <c r="K358">
        <v>0</v>
      </c>
      <c r="L358">
        <v>4</v>
      </c>
      <c r="M358">
        <v>4</v>
      </c>
      <c r="N358">
        <v>3</v>
      </c>
      <c r="O358">
        <v>2</v>
      </c>
      <c r="P358">
        <v>5</v>
      </c>
      <c r="Q358">
        <f>N358-K358</f>
        <v>3</v>
      </c>
      <c r="R358">
        <f>O358-L358</f>
        <v>-2</v>
      </c>
      <c r="S358">
        <f>P358-M358</f>
        <v>1</v>
      </c>
      <c r="T358">
        <v>322</v>
      </c>
      <c r="U358" s="14">
        <v>655860.2300000008</v>
      </c>
      <c r="V358" s="14">
        <v>2632</v>
      </c>
      <c r="W358" s="16">
        <v>2.1197978878976257E-3</v>
      </c>
      <c r="X358" s="16">
        <v>4.76663068753939E-3</v>
      </c>
    </row>
    <row r="359" spans="1:24" x14ac:dyDescent="0.2">
      <c r="A359" t="s">
        <v>12</v>
      </c>
      <c r="B359" t="s">
        <v>18</v>
      </c>
      <c r="C359" t="s">
        <v>32</v>
      </c>
      <c r="D359" t="s">
        <v>83</v>
      </c>
      <c r="E359" t="s">
        <v>61</v>
      </c>
      <c r="F359" t="s">
        <v>734</v>
      </c>
      <c r="H359" t="s">
        <v>1669</v>
      </c>
      <c r="I359" t="s">
        <v>1670</v>
      </c>
      <c r="J359" t="s">
        <v>1674</v>
      </c>
      <c r="K359">
        <v>1</v>
      </c>
      <c r="L359">
        <v>4</v>
      </c>
      <c r="M359">
        <v>5</v>
      </c>
      <c r="N359">
        <v>5</v>
      </c>
      <c r="O359">
        <v>1</v>
      </c>
      <c r="P359">
        <v>6</v>
      </c>
      <c r="Q359">
        <f>N359-K359</f>
        <v>4</v>
      </c>
      <c r="R359">
        <f>O359-L359</f>
        <v>-3</v>
      </c>
      <c r="S359">
        <f>P359-M359</f>
        <v>1</v>
      </c>
      <c r="T359">
        <v>60</v>
      </c>
      <c r="U359" s="14">
        <v>194826.55</v>
      </c>
      <c r="V359" s="14">
        <v>1162</v>
      </c>
      <c r="W359" s="16">
        <v>6.2969652725609036E-4</v>
      </c>
      <c r="X359" s="16">
        <v>2.104416739711539E-3</v>
      </c>
    </row>
    <row r="360" spans="1:24" x14ac:dyDescent="0.2">
      <c r="A360" t="s">
        <v>15</v>
      </c>
      <c r="B360" t="s">
        <v>24</v>
      </c>
      <c r="C360" t="s">
        <v>58</v>
      </c>
      <c r="D360" t="s">
        <v>150</v>
      </c>
      <c r="E360" t="s">
        <v>425</v>
      </c>
      <c r="F360" t="s">
        <v>1245</v>
      </c>
      <c r="H360" t="s">
        <v>1669</v>
      </c>
      <c r="I360" t="s">
        <v>1670</v>
      </c>
      <c r="J360" t="s">
        <v>1674</v>
      </c>
      <c r="K360">
        <v>0</v>
      </c>
      <c r="L360">
        <v>5</v>
      </c>
      <c r="M360">
        <v>5</v>
      </c>
      <c r="N360">
        <v>5</v>
      </c>
      <c r="O360">
        <v>1</v>
      </c>
      <c r="P360">
        <v>6</v>
      </c>
      <c r="Q360">
        <f>N360-K360</f>
        <v>5</v>
      </c>
      <c r="R360">
        <f>O360-L360</f>
        <v>-4</v>
      </c>
      <c r="S360">
        <f>P360-M360</f>
        <v>1</v>
      </c>
      <c r="T360">
        <v>11</v>
      </c>
      <c r="U360" s="14">
        <v>9354.57</v>
      </c>
      <c r="V360" s="14">
        <v>111</v>
      </c>
      <c r="W360" s="16">
        <v>3.0234792141902659E-5</v>
      </c>
      <c r="X360" s="16">
        <v>2.0102431850944997E-4</v>
      </c>
    </row>
    <row r="361" spans="1:24" x14ac:dyDescent="0.2">
      <c r="A361" t="s">
        <v>12</v>
      </c>
      <c r="B361" t="s">
        <v>19</v>
      </c>
      <c r="C361" t="s">
        <v>28</v>
      </c>
      <c r="D361" t="s">
        <v>71</v>
      </c>
      <c r="E361" t="s">
        <v>259</v>
      </c>
      <c r="F361" t="s">
        <v>711</v>
      </c>
      <c r="H361" t="s">
        <v>1669</v>
      </c>
      <c r="I361" t="s">
        <v>1671</v>
      </c>
      <c r="J361" t="s">
        <v>1674</v>
      </c>
      <c r="K361">
        <v>23</v>
      </c>
      <c r="L361">
        <v>2</v>
      </c>
      <c r="M361">
        <v>25</v>
      </c>
      <c r="N361">
        <v>22</v>
      </c>
      <c r="O361">
        <v>3</v>
      </c>
      <c r="P361">
        <v>25</v>
      </c>
      <c r="Q361">
        <f>N361-K361</f>
        <v>-1</v>
      </c>
      <c r="R361">
        <f>O361-L361</f>
        <v>1</v>
      </c>
      <c r="S361">
        <f>P361-M361</f>
        <v>0</v>
      </c>
      <c r="T361">
        <v>551</v>
      </c>
      <c r="U361" s="14">
        <v>2808079.2400000012</v>
      </c>
      <c r="V361" s="14">
        <v>6521</v>
      </c>
      <c r="W361" s="16">
        <v>9.0759588243384814E-3</v>
      </c>
      <c r="X361" s="16">
        <v>1.1809725954956064E-2</v>
      </c>
    </row>
    <row r="362" spans="1:24" x14ac:dyDescent="0.2">
      <c r="A362" t="s">
        <v>12</v>
      </c>
      <c r="B362" t="s">
        <v>19</v>
      </c>
      <c r="C362" t="s">
        <v>28</v>
      </c>
      <c r="D362" t="s">
        <v>72</v>
      </c>
      <c r="E362" t="s">
        <v>263</v>
      </c>
      <c r="F362" t="s">
        <v>263</v>
      </c>
      <c r="H362" t="s">
        <v>1669</v>
      </c>
      <c r="I362" t="s">
        <v>1670</v>
      </c>
      <c r="J362" t="s">
        <v>1674</v>
      </c>
      <c r="K362">
        <v>13</v>
      </c>
      <c r="L362">
        <v>1</v>
      </c>
      <c r="M362">
        <v>14</v>
      </c>
      <c r="N362">
        <v>12</v>
      </c>
      <c r="O362">
        <v>2</v>
      </c>
      <c r="P362">
        <v>14</v>
      </c>
      <c r="Q362">
        <f>N362-K362</f>
        <v>-1</v>
      </c>
      <c r="R362">
        <f>O362-L362</f>
        <v>1</v>
      </c>
      <c r="S362">
        <f>P362-M362</f>
        <v>0</v>
      </c>
      <c r="T362">
        <v>499</v>
      </c>
      <c r="U362" s="14">
        <v>2609887.7900000019</v>
      </c>
      <c r="V362" s="14">
        <v>4902</v>
      </c>
      <c r="W362" s="16">
        <v>8.4353866446389043E-3</v>
      </c>
      <c r="X362" s="16">
        <v>8.8776685525524656E-3</v>
      </c>
    </row>
    <row r="363" spans="1:24" s="32" customFormat="1" x14ac:dyDescent="0.2">
      <c r="A363" s="32" t="s">
        <v>12</v>
      </c>
      <c r="B363" s="32" t="s">
        <v>19</v>
      </c>
      <c r="C363" s="32" t="s">
        <v>28</v>
      </c>
      <c r="D363" s="32" t="s">
        <v>79</v>
      </c>
      <c r="E363" s="32" t="s">
        <v>278</v>
      </c>
      <c r="F363" s="32" t="s">
        <v>725</v>
      </c>
      <c r="G363" s="32" t="s">
        <v>1719</v>
      </c>
      <c r="H363" s="32" t="s">
        <v>1669</v>
      </c>
      <c r="I363" t="s">
        <v>1671</v>
      </c>
      <c r="J363" s="32" t="s">
        <v>1674</v>
      </c>
      <c r="K363" s="32">
        <v>4</v>
      </c>
      <c r="L363" s="32">
        <v>0</v>
      </c>
      <c r="M363" s="32">
        <v>4</v>
      </c>
      <c r="N363" s="32">
        <v>3</v>
      </c>
      <c r="O363" s="32">
        <v>1</v>
      </c>
      <c r="P363" s="32">
        <v>4</v>
      </c>
      <c r="Q363" s="32">
        <f>N363-K363</f>
        <v>-1</v>
      </c>
      <c r="R363" s="32">
        <f>O363-L363</f>
        <v>1</v>
      </c>
      <c r="S363" s="32">
        <f>P363-M363</f>
        <v>0</v>
      </c>
      <c r="T363" s="32">
        <v>130</v>
      </c>
      <c r="U363" s="33">
        <v>944481.96000000008</v>
      </c>
      <c r="V363" s="33">
        <v>1380</v>
      </c>
      <c r="W363" s="34">
        <v>3.0526486778523036E-3</v>
      </c>
      <c r="X363" s="34">
        <v>2.499221257144513E-3</v>
      </c>
    </row>
    <row r="364" spans="1:24" x14ac:dyDescent="0.2">
      <c r="A364" t="s">
        <v>12</v>
      </c>
      <c r="B364" t="s">
        <v>18</v>
      </c>
      <c r="C364" t="s">
        <v>26</v>
      </c>
      <c r="D364" t="s">
        <v>63</v>
      </c>
      <c r="E364" t="s">
        <v>240</v>
      </c>
      <c r="F364" t="s">
        <v>240</v>
      </c>
      <c r="H364" t="s">
        <v>1669</v>
      </c>
      <c r="I364" t="s">
        <v>1670</v>
      </c>
      <c r="J364" t="s">
        <v>1674</v>
      </c>
      <c r="K364">
        <v>1</v>
      </c>
      <c r="L364">
        <v>0</v>
      </c>
      <c r="M364">
        <v>1</v>
      </c>
      <c r="N364">
        <v>1</v>
      </c>
      <c r="O364">
        <v>0</v>
      </c>
      <c r="P364">
        <v>1</v>
      </c>
      <c r="Q364">
        <f>N364-K364</f>
        <v>0</v>
      </c>
      <c r="R364">
        <f>O364-L364</f>
        <v>0</v>
      </c>
      <c r="S364">
        <f>P364-M364</f>
        <v>0</v>
      </c>
      <c r="T364">
        <v>0</v>
      </c>
      <c r="U364" s="14">
        <v>0</v>
      </c>
      <c r="V364" s="14">
        <v>0</v>
      </c>
      <c r="W364" s="16">
        <v>0</v>
      </c>
      <c r="X364" s="16">
        <v>0</v>
      </c>
    </row>
    <row r="365" spans="1:24" x14ac:dyDescent="0.2">
      <c r="A365" t="s">
        <v>12</v>
      </c>
      <c r="B365" t="s">
        <v>18</v>
      </c>
      <c r="C365" t="s">
        <v>26</v>
      </c>
      <c r="D365" t="s">
        <v>63</v>
      </c>
      <c r="E365" t="s">
        <v>241</v>
      </c>
      <c r="F365" t="s">
        <v>241</v>
      </c>
      <c r="H365" t="s">
        <v>1669</v>
      </c>
      <c r="I365" t="s">
        <v>1670</v>
      </c>
      <c r="J365" t="s">
        <v>1674</v>
      </c>
      <c r="K365">
        <v>1</v>
      </c>
      <c r="L365">
        <v>0</v>
      </c>
      <c r="M365">
        <v>1</v>
      </c>
      <c r="N365">
        <v>1</v>
      </c>
      <c r="O365">
        <v>0</v>
      </c>
      <c r="P365">
        <v>1</v>
      </c>
      <c r="Q365">
        <f>N365-K365</f>
        <v>0</v>
      </c>
      <c r="R365">
        <f>O365-L365</f>
        <v>0</v>
      </c>
      <c r="S365">
        <f>P365-M365</f>
        <v>0</v>
      </c>
      <c r="T365">
        <v>0</v>
      </c>
      <c r="U365" s="14">
        <v>0</v>
      </c>
      <c r="V365" s="14">
        <v>0</v>
      </c>
      <c r="W365" s="16">
        <v>0</v>
      </c>
      <c r="X365" s="16">
        <v>0</v>
      </c>
    </row>
    <row r="366" spans="1:24" x14ac:dyDescent="0.2">
      <c r="A366" t="s">
        <v>12</v>
      </c>
      <c r="B366" t="s">
        <v>18</v>
      </c>
      <c r="C366" t="s">
        <v>26</v>
      </c>
      <c r="D366" t="s">
        <v>64</v>
      </c>
      <c r="E366" t="s">
        <v>245</v>
      </c>
      <c r="F366" t="s">
        <v>245</v>
      </c>
      <c r="H366" t="s">
        <v>1669</v>
      </c>
      <c r="I366" t="s">
        <v>1670</v>
      </c>
      <c r="J366" t="s">
        <v>1674</v>
      </c>
      <c r="K366">
        <v>3</v>
      </c>
      <c r="L366">
        <v>0</v>
      </c>
      <c r="M366">
        <v>3</v>
      </c>
      <c r="N366">
        <v>3</v>
      </c>
      <c r="O366">
        <v>0</v>
      </c>
      <c r="P366">
        <v>3</v>
      </c>
      <c r="Q366">
        <f>N366-K366</f>
        <v>0</v>
      </c>
      <c r="R366">
        <f>O366-L366</f>
        <v>0</v>
      </c>
      <c r="S366">
        <f>P366-M366</f>
        <v>0</v>
      </c>
      <c r="T366">
        <v>0</v>
      </c>
      <c r="U366" s="14">
        <v>0</v>
      </c>
      <c r="V366" s="14">
        <v>0</v>
      </c>
      <c r="W366" s="16">
        <v>0</v>
      </c>
      <c r="X366" s="16">
        <v>0</v>
      </c>
    </row>
    <row r="367" spans="1:24" x14ac:dyDescent="0.2">
      <c r="A367" t="s">
        <v>17</v>
      </c>
      <c r="B367" s="35" t="s">
        <v>19</v>
      </c>
      <c r="C367" t="s">
        <v>52</v>
      </c>
      <c r="D367" t="s">
        <v>140</v>
      </c>
      <c r="E367" t="s">
        <v>510</v>
      </c>
      <c r="F367" t="s">
        <v>1124</v>
      </c>
      <c r="H367" t="s">
        <v>1670</v>
      </c>
      <c r="I367" t="s">
        <v>1670</v>
      </c>
      <c r="J367" t="s">
        <v>1674</v>
      </c>
      <c r="K367">
        <v>10</v>
      </c>
      <c r="L367">
        <v>0</v>
      </c>
      <c r="M367">
        <v>10</v>
      </c>
      <c r="N367">
        <v>10</v>
      </c>
      <c r="O367">
        <v>0</v>
      </c>
      <c r="P367">
        <v>10</v>
      </c>
      <c r="Q367">
        <f>N367-K367</f>
        <v>0</v>
      </c>
      <c r="R367">
        <f>O367-L367</f>
        <v>0</v>
      </c>
      <c r="S367">
        <f>P367-M367</f>
        <v>0</v>
      </c>
      <c r="T367">
        <v>22</v>
      </c>
      <c r="U367" s="14">
        <v>56443.43</v>
      </c>
      <c r="V367" s="14">
        <v>211</v>
      </c>
      <c r="W367" s="16">
        <v>1.824301249363715E-4</v>
      </c>
      <c r="X367" s="16">
        <v>3.8212730815760307E-4</v>
      </c>
    </row>
    <row r="368" spans="1:24" x14ac:dyDescent="0.2">
      <c r="A368" t="s">
        <v>16</v>
      </c>
      <c r="B368" t="s">
        <v>22</v>
      </c>
      <c r="C368" t="s">
        <v>39</v>
      </c>
      <c r="D368" t="s">
        <v>166</v>
      </c>
      <c r="E368" t="s">
        <v>461</v>
      </c>
      <c r="F368" t="s">
        <v>1459</v>
      </c>
      <c r="H368" t="s">
        <v>1670</v>
      </c>
      <c r="I368" t="s">
        <v>1670</v>
      </c>
      <c r="J368" t="s">
        <v>1674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2</v>
      </c>
      <c r="Q368">
        <f>N368-K368</f>
        <v>2</v>
      </c>
      <c r="R368">
        <f>O368-L368</f>
        <v>0</v>
      </c>
      <c r="S368">
        <f>P368-M368</f>
        <v>2</v>
      </c>
      <c r="T368">
        <v>37</v>
      </c>
      <c r="U368" s="14">
        <v>54705.760000000009</v>
      </c>
      <c r="V368" s="14">
        <v>139</v>
      </c>
      <c r="W368" s="16">
        <v>1.7681382282294249E-4</v>
      </c>
      <c r="X368" s="16">
        <v>2.517331556109328E-4</v>
      </c>
    </row>
    <row r="369" spans="1:24" x14ac:dyDescent="0.2">
      <c r="A369" t="s">
        <v>12</v>
      </c>
      <c r="B369" t="s">
        <v>19</v>
      </c>
      <c r="C369" t="s">
        <v>28</v>
      </c>
      <c r="D369" t="s">
        <v>71</v>
      </c>
      <c r="E369" t="s">
        <v>258</v>
      </c>
      <c r="F369" t="s">
        <v>706</v>
      </c>
      <c r="H369" t="s">
        <v>1669</v>
      </c>
      <c r="I369" t="s">
        <v>1671</v>
      </c>
      <c r="J369" t="s">
        <v>1674</v>
      </c>
      <c r="K369">
        <v>7</v>
      </c>
      <c r="L369">
        <v>7</v>
      </c>
      <c r="M369">
        <v>14</v>
      </c>
      <c r="N369">
        <v>7</v>
      </c>
      <c r="O369">
        <v>7</v>
      </c>
      <c r="P369">
        <v>14</v>
      </c>
      <c r="Q369">
        <f>N369-K369</f>
        <v>0</v>
      </c>
      <c r="R369">
        <f>O369-L369</f>
        <v>0</v>
      </c>
      <c r="S369">
        <f>P369-M369</f>
        <v>0</v>
      </c>
      <c r="T369">
        <v>62</v>
      </c>
      <c r="U369" s="14">
        <v>113134.25</v>
      </c>
      <c r="V369" s="14">
        <v>2416</v>
      </c>
      <c r="W369" s="16">
        <v>3.6565983608867654E-4</v>
      </c>
      <c r="X369" s="16">
        <v>4.3754482298993796E-3</v>
      </c>
    </row>
    <row r="370" spans="1:24" x14ac:dyDescent="0.2">
      <c r="A370" t="s">
        <v>12</v>
      </c>
      <c r="B370" t="s">
        <v>19</v>
      </c>
      <c r="C370" t="s">
        <v>28</v>
      </c>
      <c r="D370" t="s">
        <v>71</v>
      </c>
      <c r="E370" t="s">
        <v>258</v>
      </c>
      <c r="F370" t="s">
        <v>708</v>
      </c>
      <c r="H370" t="s">
        <v>1669</v>
      </c>
      <c r="I370" t="s">
        <v>1671</v>
      </c>
      <c r="J370" t="s">
        <v>1674</v>
      </c>
      <c r="K370">
        <v>9</v>
      </c>
      <c r="L370">
        <v>4</v>
      </c>
      <c r="M370">
        <v>13</v>
      </c>
      <c r="N370">
        <v>9</v>
      </c>
      <c r="O370">
        <v>4</v>
      </c>
      <c r="P370">
        <v>13</v>
      </c>
      <c r="Q370">
        <f>N370-K370</f>
        <v>0</v>
      </c>
      <c r="R370">
        <f>O370-L370</f>
        <v>0</v>
      </c>
      <c r="S370">
        <f>P370-M370</f>
        <v>0</v>
      </c>
      <c r="T370">
        <v>103</v>
      </c>
      <c r="U370" s="14">
        <v>610813.22999999986</v>
      </c>
      <c r="V370" s="14">
        <v>1154</v>
      </c>
      <c r="W370" s="16">
        <v>1.9742020260230218E-3</v>
      </c>
      <c r="X370" s="16">
        <v>2.089928500539687E-3</v>
      </c>
    </row>
    <row r="371" spans="1:24" x14ac:dyDescent="0.2">
      <c r="A371" t="s">
        <v>12</v>
      </c>
      <c r="B371" t="s">
        <v>19</v>
      </c>
      <c r="C371" t="s">
        <v>28</v>
      </c>
      <c r="D371" t="s">
        <v>71</v>
      </c>
      <c r="E371" t="s">
        <v>259</v>
      </c>
      <c r="F371" t="s">
        <v>710</v>
      </c>
      <c r="H371" t="s">
        <v>1669</v>
      </c>
      <c r="I371" t="s">
        <v>1671</v>
      </c>
      <c r="J371" t="s">
        <v>1673</v>
      </c>
      <c r="K371">
        <v>5</v>
      </c>
      <c r="L371">
        <v>1</v>
      </c>
      <c r="M371">
        <v>6</v>
      </c>
      <c r="N371">
        <v>5</v>
      </c>
      <c r="O371">
        <v>1</v>
      </c>
      <c r="P371">
        <v>6</v>
      </c>
      <c r="Q371">
        <f>N371-K371</f>
        <v>0</v>
      </c>
      <c r="R371">
        <f>O371-L371</f>
        <v>0</v>
      </c>
      <c r="S371">
        <f>P371-M371</f>
        <v>0</v>
      </c>
      <c r="T371">
        <v>175</v>
      </c>
      <c r="U371" s="14">
        <v>993418.15999999992</v>
      </c>
      <c r="V371" s="14">
        <v>2306</v>
      </c>
      <c r="W371" s="16">
        <v>3.210814775835917E-3</v>
      </c>
      <c r="X371" s="16">
        <v>4.1762349412864108E-3</v>
      </c>
    </row>
    <row r="372" spans="1:24" x14ac:dyDescent="0.2">
      <c r="A372" t="s">
        <v>12</v>
      </c>
      <c r="B372" t="s">
        <v>19</v>
      </c>
      <c r="C372" t="s">
        <v>28</v>
      </c>
      <c r="D372" t="s">
        <v>72</v>
      </c>
      <c r="E372" t="s">
        <v>263</v>
      </c>
      <c r="F372" t="s">
        <v>714</v>
      </c>
      <c r="H372" t="s">
        <v>1669</v>
      </c>
      <c r="I372" t="s">
        <v>1670</v>
      </c>
      <c r="J372" t="s">
        <v>1674</v>
      </c>
      <c r="K372">
        <v>1</v>
      </c>
      <c r="L372">
        <v>1</v>
      </c>
      <c r="M372">
        <v>2</v>
      </c>
      <c r="N372">
        <v>1</v>
      </c>
      <c r="O372">
        <v>1</v>
      </c>
      <c r="P372">
        <v>2</v>
      </c>
      <c r="Q372">
        <f>N372-K372</f>
        <v>0</v>
      </c>
      <c r="R372">
        <f>O372-L372</f>
        <v>0</v>
      </c>
      <c r="S372">
        <f>P372-M372</f>
        <v>0</v>
      </c>
      <c r="T372">
        <v>8</v>
      </c>
      <c r="U372" s="14">
        <v>12342.63</v>
      </c>
      <c r="V372" s="14">
        <v>17</v>
      </c>
      <c r="W372" s="16">
        <v>3.9892464595851222E-5</v>
      </c>
      <c r="X372" s="16">
        <v>3.0787508240186029E-5</v>
      </c>
    </row>
    <row r="373" spans="1:24" x14ac:dyDescent="0.2">
      <c r="A373" t="s">
        <v>12</v>
      </c>
      <c r="B373" t="s">
        <v>19</v>
      </c>
      <c r="C373" t="s">
        <v>28</v>
      </c>
      <c r="D373" t="s">
        <v>72</v>
      </c>
      <c r="E373" t="s">
        <v>264</v>
      </c>
      <c r="F373" t="s">
        <v>716</v>
      </c>
      <c r="H373" t="s">
        <v>1669</v>
      </c>
      <c r="I373" t="s">
        <v>1670</v>
      </c>
      <c r="J373" t="s">
        <v>1674</v>
      </c>
      <c r="K373">
        <v>3</v>
      </c>
      <c r="L373">
        <v>2</v>
      </c>
      <c r="M373">
        <v>5</v>
      </c>
      <c r="N373">
        <v>3</v>
      </c>
      <c r="O373">
        <v>2</v>
      </c>
      <c r="P373">
        <v>5</v>
      </c>
      <c r="Q373">
        <f>N373-K373</f>
        <v>0</v>
      </c>
      <c r="R373">
        <f>O373-L373</f>
        <v>0</v>
      </c>
      <c r="S373">
        <f>P373-M373</f>
        <v>0</v>
      </c>
      <c r="T373">
        <v>58</v>
      </c>
      <c r="U373" s="14">
        <v>469852.08999999985</v>
      </c>
      <c r="V373" s="14">
        <v>623</v>
      </c>
      <c r="W373" s="16">
        <v>1.5186032365558798E-3</v>
      </c>
      <c r="X373" s="16">
        <v>1.1282716255079938E-3</v>
      </c>
    </row>
    <row r="374" spans="1:24" x14ac:dyDescent="0.2">
      <c r="A374" t="s">
        <v>12</v>
      </c>
      <c r="B374" t="s">
        <v>19</v>
      </c>
      <c r="C374" t="s">
        <v>28</v>
      </c>
      <c r="D374" t="s">
        <v>74</v>
      </c>
      <c r="E374" t="s">
        <v>269</v>
      </c>
      <c r="F374" t="s">
        <v>269</v>
      </c>
      <c r="H374" t="s">
        <v>1669</v>
      </c>
      <c r="I374" t="s">
        <v>1671</v>
      </c>
      <c r="J374" t="s">
        <v>1674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1</v>
      </c>
      <c r="Q374">
        <f>N374-K374</f>
        <v>0</v>
      </c>
      <c r="R374">
        <f>O374-L374</f>
        <v>0</v>
      </c>
      <c r="S374">
        <f>P374-M374</f>
        <v>0</v>
      </c>
      <c r="T374">
        <v>58</v>
      </c>
      <c r="U374" s="14">
        <v>256611.99000000005</v>
      </c>
      <c r="V374" s="14">
        <v>340</v>
      </c>
      <c r="W374" s="16">
        <v>8.293924978668186E-4</v>
      </c>
      <c r="X374" s="16">
        <v>6.1575016480372056E-4</v>
      </c>
    </row>
    <row r="375" spans="1:24" x14ac:dyDescent="0.2">
      <c r="A375" t="s">
        <v>12</v>
      </c>
      <c r="B375" t="s">
        <v>18</v>
      </c>
      <c r="C375" t="s">
        <v>28</v>
      </c>
      <c r="D375" t="s">
        <v>74</v>
      </c>
      <c r="E375" t="s">
        <v>270</v>
      </c>
      <c r="F375" t="s">
        <v>722</v>
      </c>
      <c r="H375" t="s">
        <v>1669</v>
      </c>
      <c r="I375" t="s">
        <v>1670</v>
      </c>
      <c r="J375" t="s">
        <v>1674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1</v>
      </c>
      <c r="Q375">
        <f>N375-K375</f>
        <v>0</v>
      </c>
      <c r="R375">
        <f>O375-L375</f>
        <v>0</v>
      </c>
      <c r="S375">
        <f>P375-M375</f>
        <v>0</v>
      </c>
      <c r="T375">
        <v>0</v>
      </c>
      <c r="U375" s="14">
        <v>0</v>
      </c>
      <c r="V375" s="14">
        <v>0</v>
      </c>
      <c r="W375" s="16">
        <v>0</v>
      </c>
      <c r="X375" s="16">
        <v>0</v>
      </c>
    </row>
    <row r="376" spans="1:24" x14ac:dyDescent="0.2">
      <c r="A376" t="s">
        <v>12</v>
      </c>
      <c r="B376" t="s">
        <v>19</v>
      </c>
      <c r="C376" t="s">
        <v>28</v>
      </c>
      <c r="D376" t="s">
        <v>74</v>
      </c>
      <c r="E376" t="s">
        <v>271</v>
      </c>
      <c r="F376" t="s">
        <v>271</v>
      </c>
      <c r="H376" t="s">
        <v>1669</v>
      </c>
      <c r="I376" t="s">
        <v>1671</v>
      </c>
      <c r="J376" t="s">
        <v>1674</v>
      </c>
      <c r="K376">
        <v>6</v>
      </c>
      <c r="L376">
        <v>4</v>
      </c>
      <c r="M376">
        <v>10</v>
      </c>
      <c r="N376">
        <v>6</v>
      </c>
      <c r="O376">
        <v>4</v>
      </c>
      <c r="P376">
        <v>10</v>
      </c>
      <c r="Q376">
        <f>N376-K376</f>
        <v>0</v>
      </c>
      <c r="R376">
        <f>O376-L376</f>
        <v>0</v>
      </c>
      <c r="S376">
        <f>P376-M376</f>
        <v>0</v>
      </c>
      <c r="T376">
        <v>160</v>
      </c>
      <c r="U376" s="14">
        <v>613303.86999999953</v>
      </c>
      <c r="V376" s="14">
        <v>1978</v>
      </c>
      <c r="W376" s="16">
        <v>1.9822519933331488E-3</v>
      </c>
      <c r="X376" s="16">
        <v>3.5822171352404685E-3</v>
      </c>
    </row>
    <row r="377" spans="1:24" x14ac:dyDescent="0.2">
      <c r="A377" t="s">
        <v>12</v>
      </c>
      <c r="B377" t="s">
        <v>19</v>
      </c>
      <c r="C377" t="s">
        <v>28</v>
      </c>
      <c r="D377" t="s">
        <v>74</v>
      </c>
      <c r="E377" t="s">
        <v>272</v>
      </c>
      <c r="F377" t="s">
        <v>272</v>
      </c>
      <c r="H377" t="s">
        <v>1669</v>
      </c>
      <c r="I377" t="s">
        <v>1671</v>
      </c>
      <c r="J377" t="s">
        <v>1674</v>
      </c>
      <c r="K377">
        <v>10</v>
      </c>
      <c r="L377">
        <v>5</v>
      </c>
      <c r="M377">
        <v>15</v>
      </c>
      <c r="N377">
        <v>10</v>
      </c>
      <c r="O377">
        <v>5</v>
      </c>
      <c r="P377">
        <v>15</v>
      </c>
      <c r="Q377">
        <f>N377-K377</f>
        <v>0</v>
      </c>
      <c r="R377">
        <f>O377-L377</f>
        <v>0</v>
      </c>
      <c r="S377">
        <f>P377-M377</f>
        <v>0</v>
      </c>
      <c r="T377">
        <v>345</v>
      </c>
      <c r="U377" s="14">
        <v>1728044.2300000007</v>
      </c>
      <c r="V377" s="14">
        <v>4072</v>
      </c>
      <c r="W377" s="16">
        <v>5.5851907790592462E-3</v>
      </c>
      <c r="X377" s="16">
        <v>7.3745137384727951E-3</v>
      </c>
    </row>
    <row r="378" spans="1:24" x14ac:dyDescent="0.2">
      <c r="A378" t="s">
        <v>12</v>
      </c>
      <c r="B378" t="s">
        <v>19</v>
      </c>
      <c r="C378" t="s">
        <v>28</v>
      </c>
      <c r="D378" t="s">
        <v>77</v>
      </c>
      <c r="E378" t="s">
        <v>276</v>
      </c>
      <c r="F378" t="s">
        <v>276</v>
      </c>
      <c r="H378" t="s">
        <v>1669</v>
      </c>
      <c r="I378" t="s">
        <v>1671</v>
      </c>
      <c r="J378" t="s">
        <v>1674</v>
      </c>
      <c r="K378">
        <v>4</v>
      </c>
      <c r="L378">
        <v>5</v>
      </c>
      <c r="M378">
        <v>9</v>
      </c>
      <c r="N378">
        <v>4</v>
      </c>
      <c r="O378">
        <v>5</v>
      </c>
      <c r="P378">
        <v>9</v>
      </c>
      <c r="Q378">
        <f>N378-K378</f>
        <v>0</v>
      </c>
      <c r="R378">
        <f>O378-L378</f>
        <v>0</v>
      </c>
      <c r="S378">
        <f>P378-M378</f>
        <v>0</v>
      </c>
      <c r="T378">
        <v>165</v>
      </c>
      <c r="U378" s="14">
        <v>543806.66999999993</v>
      </c>
      <c r="V378" s="14">
        <v>2134</v>
      </c>
      <c r="W378" s="16">
        <v>1.7576309368394539E-3</v>
      </c>
      <c r="X378" s="16">
        <v>3.8647377990915872E-3</v>
      </c>
    </row>
    <row r="379" spans="1:24" x14ac:dyDescent="0.2">
      <c r="A379" t="s">
        <v>12</v>
      </c>
      <c r="B379" t="s">
        <v>19</v>
      </c>
      <c r="C379" t="s">
        <v>28</v>
      </c>
      <c r="D379" t="s">
        <v>78</v>
      </c>
      <c r="E379" t="s">
        <v>277</v>
      </c>
      <c r="F379" t="s">
        <v>277</v>
      </c>
      <c r="H379" t="s">
        <v>1669</v>
      </c>
      <c r="I379" t="s">
        <v>1670</v>
      </c>
      <c r="J379" t="s">
        <v>1674</v>
      </c>
      <c r="K379">
        <v>4</v>
      </c>
      <c r="L379">
        <v>2</v>
      </c>
      <c r="M379">
        <v>6</v>
      </c>
      <c r="N379">
        <v>4</v>
      </c>
      <c r="O379">
        <v>2</v>
      </c>
      <c r="P379">
        <v>6</v>
      </c>
      <c r="Q379">
        <f>N379-K379</f>
        <v>0</v>
      </c>
      <c r="R379">
        <f>O379-L379</f>
        <v>0</v>
      </c>
      <c r="S379">
        <f>P379-M379</f>
        <v>0</v>
      </c>
      <c r="T379">
        <v>52</v>
      </c>
      <c r="U379" s="14">
        <v>157243.44000000003</v>
      </c>
      <c r="V379" s="14">
        <v>651</v>
      </c>
      <c r="W379" s="16">
        <v>5.0822461364635068E-4</v>
      </c>
      <c r="X379" s="16">
        <v>1.1789804626094768E-3</v>
      </c>
    </row>
    <row r="380" spans="1:24" x14ac:dyDescent="0.2">
      <c r="A380" t="s">
        <v>12</v>
      </c>
      <c r="B380" t="s">
        <v>18</v>
      </c>
      <c r="C380" t="s">
        <v>29</v>
      </c>
      <c r="D380" t="s">
        <v>80</v>
      </c>
      <c r="E380" t="s">
        <v>280</v>
      </c>
      <c r="F380" t="s">
        <v>727</v>
      </c>
      <c r="H380" t="s">
        <v>1669</v>
      </c>
      <c r="I380" t="s">
        <v>1670</v>
      </c>
      <c r="J380" t="s">
        <v>1673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f>N380-K380</f>
        <v>0</v>
      </c>
      <c r="R380">
        <f>O380-L380</f>
        <v>0</v>
      </c>
      <c r="S380">
        <f>P380-M380</f>
        <v>0</v>
      </c>
      <c r="T380">
        <v>11</v>
      </c>
      <c r="U380" s="14">
        <v>38203.120000000003</v>
      </c>
      <c r="V380" s="14">
        <v>57</v>
      </c>
      <c r="W380" s="16">
        <v>1.2347584040444022E-4</v>
      </c>
      <c r="X380" s="16">
        <v>1.0322870409944728E-4</v>
      </c>
    </row>
    <row r="381" spans="1:24" x14ac:dyDescent="0.2">
      <c r="A381" t="s">
        <v>12</v>
      </c>
      <c r="B381" t="s">
        <v>18</v>
      </c>
      <c r="C381" t="s">
        <v>29</v>
      </c>
      <c r="D381" t="s">
        <v>80</v>
      </c>
      <c r="E381" t="s">
        <v>281</v>
      </c>
      <c r="F381" t="s">
        <v>728</v>
      </c>
      <c r="H381" t="s">
        <v>1669</v>
      </c>
      <c r="I381" t="s">
        <v>1670</v>
      </c>
      <c r="J381" t="s">
        <v>1674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1</v>
      </c>
      <c r="Q381">
        <f>N381-K381</f>
        <v>0</v>
      </c>
      <c r="R381">
        <f>O381-L381</f>
        <v>0</v>
      </c>
      <c r="S381">
        <f>P381-M381</f>
        <v>0</v>
      </c>
      <c r="T381">
        <v>26</v>
      </c>
      <c r="U381" s="14">
        <v>33319</v>
      </c>
      <c r="V381" s="14">
        <v>113</v>
      </c>
      <c r="W381" s="16">
        <v>1.0768993544075833E-4</v>
      </c>
      <c r="X381" s="16">
        <v>2.0464637830241303E-4</v>
      </c>
    </row>
    <row r="382" spans="1:24" x14ac:dyDescent="0.2">
      <c r="A382" t="s">
        <v>16</v>
      </c>
      <c r="B382" t="s">
        <v>22</v>
      </c>
      <c r="C382" t="s">
        <v>39</v>
      </c>
      <c r="D382" t="s">
        <v>166</v>
      </c>
      <c r="E382" t="s">
        <v>461</v>
      </c>
      <c r="F382" t="s">
        <v>1399</v>
      </c>
      <c r="H382" t="s">
        <v>1670</v>
      </c>
      <c r="I382" t="s">
        <v>1670</v>
      </c>
      <c r="J382" t="s">
        <v>1673</v>
      </c>
      <c r="K382">
        <v>0</v>
      </c>
      <c r="L382">
        <v>0</v>
      </c>
      <c r="M382">
        <v>0</v>
      </c>
      <c r="N382">
        <v>3</v>
      </c>
      <c r="O382">
        <v>0</v>
      </c>
      <c r="P382">
        <v>3</v>
      </c>
      <c r="Q382">
        <f>N382-K382</f>
        <v>3</v>
      </c>
      <c r="R382">
        <f>O382-L382</f>
        <v>0</v>
      </c>
      <c r="S382">
        <f>P382-M382</f>
        <v>3</v>
      </c>
      <c r="T382">
        <v>43</v>
      </c>
      <c r="U382" s="14">
        <v>53557.680000000008</v>
      </c>
      <c r="V382" s="14">
        <v>95</v>
      </c>
      <c r="W382" s="16">
        <v>1.7310312739148218E-4</v>
      </c>
      <c r="X382" s="16">
        <v>1.7204784016574545E-4</v>
      </c>
    </row>
    <row r="383" spans="1:24" x14ac:dyDescent="0.2">
      <c r="A383" t="s">
        <v>16</v>
      </c>
      <c r="B383" t="s">
        <v>22</v>
      </c>
      <c r="C383" t="s">
        <v>39</v>
      </c>
      <c r="D383" t="s">
        <v>163</v>
      </c>
      <c r="E383" t="s">
        <v>598</v>
      </c>
      <c r="F383" t="s">
        <v>1413</v>
      </c>
      <c r="H383" t="s">
        <v>1670</v>
      </c>
      <c r="I383" t="s">
        <v>1671</v>
      </c>
      <c r="J383" t="s">
        <v>1674</v>
      </c>
      <c r="K383">
        <v>0</v>
      </c>
      <c r="L383">
        <v>0</v>
      </c>
      <c r="M383">
        <v>0</v>
      </c>
      <c r="N383">
        <v>2</v>
      </c>
      <c r="O383">
        <v>0</v>
      </c>
      <c r="P383">
        <v>2</v>
      </c>
      <c r="Q383">
        <f>N383-K383</f>
        <v>2</v>
      </c>
      <c r="R383">
        <f>O383-L383</f>
        <v>0</v>
      </c>
      <c r="S383">
        <f>P383-M383</f>
        <v>2</v>
      </c>
      <c r="T383">
        <v>17</v>
      </c>
      <c r="U383" s="14">
        <v>52103.09</v>
      </c>
      <c r="V383" s="14">
        <v>236</v>
      </c>
      <c r="W383" s="16">
        <v>1.6840176470974582E-4</v>
      </c>
      <c r="X383" s="16">
        <v>4.2740305556964136E-4</v>
      </c>
    </row>
    <row r="384" spans="1:24" x14ac:dyDescent="0.2">
      <c r="A384" t="s">
        <v>13</v>
      </c>
      <c r="B384" t="s">
        <v>22</v>
      </c>
      <c r="C384" t="s">
        <v>37</v>
      </c>
      <c r="D384" t="s">
        <v>219</v>
      </c>
      <c r="E384" t="s">
        <v>673</v>
      </c>
      <c r="F384" t="s">
        <v>673</v>
      </c>
      <c r="H384" t="s">
        <v>1670</v>
      </c>
      <c r="I384" t="s">
        <v>1670</v>
      </c>
      <c r="J384" t="s">
        <v>1674</v>
      </c>
      <c r="K384">
        <v>0</v>
      </c>
      <c r="L384">
        <v>0</v>
      </c>
      <c r="M384">
        <v>0</v>
      </c>
      <c r="N384">
        <v>10</v>
      </c>
      <c r="O384">
        <v>0</v>
      </c>
      <c r="P384">
        <v>10</v>
      </c>
      <c r="Q384">
        <f>N384-K384</f>
        <v>10</v>
      </c>
      <c r="R384">
        <f>O384-L384</f>
        <v>0</v>
      </c>
      <c r="S384">
        <f>P384-M384</f>
        <v>10</v>
      </c>
      <c r="T384">
        <v>80</v>
      </c>
      <c r="U384" s="14">
        <v>51489.319999999992</v>
      </c>
      <c r="V384" s="14">
        <v>246</v>
      </c>
      <c r="W384" s="16">
        <v>1.6641800614329799E-4</v>
      </c>
      <c r="X384" s="16">
        <v>4.4551335453445667E-4</v>
      </c>
    </row>
    <row r="385" spans="1:24" x14ac:dyDescent="0.2">
      <c r="A385" t="s">
        <v>16</v>
      </c>
      <c r="B385" t="s">
        <v>22</v>
      </c>
      <c r="C385" t="s">
        <v>39</v>
      </c>
      <c r="D385" t="s">
        <v>163</v>
      </c>
      <c r="E385" t="s">
        <v>598</v>
      </c>
      <c r="F385" t="s">
        <v>1480</v>
      </c>
      <c r="H385" t="s">
        <v>1670</v>
      </c>
      <c r="I385" t="s">
        <v>1671</v>
      </c>
      <c r="J385" t="s">
        <v>1674</v>
      </c>
      <c r="K385">
        <v>0</v>
      </c>
      <c r="L385">
        <v>0</v>
      </c>
      <c r="M385">
        <v>0</v>
      </c>
      <c r="N385">
        <v>2</v>
      </c>
      <c r="O385">
        <v>0</v>
      </c>
      <c r="P385">
        <v>2</v>
      </c>
      <c r="Q385">
        <f>N385-K385</f>
        <v>2</v>
      </c>
      <c r="R385">
        <f>O385-L385</f>
        <v>0</v>
      </c>
      <c r="S385">
        <f>P385-M385</f>
        <v>2</v>
      </c>
      <c r="T385">
        <v>8</v>
      </c>
      <c r="U385" s="14">
        <v>50863.46</v>
      </c>
      <c r="V385" s="14">
        <v>69</v>
      </c>
      <c r="W385" s="16">
        <v>1.643951716346107E-4</v>
      </c>
      <c r="X385" s="16">
        <v>1.2496106285722565E-4</v>
      </c>
    </row>
    <row r="386" spans="1:24" x14ac:dyDescent="0.2">
      <c r="A386" t="s">
        <v>13</v>
      </c>
      <c r="B386" t="s">
        <v>20</v>
      </c>
      <c r="C386" t="s">
        <v>33</v>
      </c>
      <c r="D386" t="s">
        <v>87</v>
      </c>
      <c r="E386" t="s">
        <v>295</v>
      </c>
      <c r="F386" t="s">
        <v>756</v>
      </c>
      <c r="H386" t="s">
        <v>1669</v>
      </c>
      <c r="I386" t="s">
        <v>1670</v>
      </c>
      <c r="J386" t="s">
        <v>1674</v>
      </c>
      <c r="K386">
        <v>7</v>
      </c>
      <c r="L386">
        <v>0</v>
      </c>
      <c r="M386">
        <v>7</v>
      </c>
      <c r="N386">
        <v>7</v>
      </c>
      <c r="O386">
        <v>0</v>
      </c>
      <c r="P386">
        <v>7</v>
      </c>
      <c r="Q386">
        <f>N386-K386</f>
        <v>0</v>
      </c>
      <c r="R386">
        <f>O386-L386</f>
        <v>0</v>
      </c>
      <c r="S386">
        <f>P386-M386</f>
        <v>0</v>
      </c>
      <c r="T386">
        <v>4</v>
      </c>
      <c r="U386" s="14">
        <v>181930</v>
      </c>
      <c r="V386" s="14">
        <v>12</v>
      </c>
      <c r="W386" s="16">
        <v>5.8801374455227234E-4</v>
      </c>
      <c r="X386" s="16">
        <v>2.1732358757778372E-5</v>
      </c>
    </row>
    <row r="387" spans="1:24" x14ac:dyDescent="0.2">
      <c r="A387" t="s">
        <v>13</v>
      </c>
      <c r="B387" t="s">
        <v>20</v>
      </c>
      <c r="C387" t="s">
        <v>33</v>
      </c>
      <c r="D387" t="s">
        <v>87</v>
      </c>
      <c r="E387" t="s">
        <v>298</v>
      </c>
      <c r="F387" t="s">
        <v>770</v>
      </c>
      <c r="H387" t="s">
        <v>1669</v>
      </c>
      <c r="I387" t="s">
        <v>1670</v>
      </c>
      <c r="J387" t="s">
        <v>1674</v>
      </c>
      <c r="K387">
        <v>6</v>
      </c>
      <c r="L387">
        <v>0</v>
      </c>
      <c r="M387">
        <v>6</v>
      </c>
      <c r="N387">
        <v>6</v>
      </c>
      <c r="O387">
        <v>0</v>
      </c>
      <c r="P387">
        <v>6</v>
      </c>
      <c r="Q387">
        <f>N387-K387</f>
        <v>0</v>
      </c>
      <c r="R387">
        <f>O387-L387</f>
        <v>0</v>
      </c>
      <c r="S387">
        <f>P387-M387</f>
        <v>0</v>
      </c>
      <c r="T387">
        <v>51</v>
      </c>
      <c r="U387" s="14">
        <v>693493.29999999993</v>
      </c>
      <c r="V387" s="14">
        <v>257</v>
      </c>
      <c r="W387" s="16">
        <v>2.2414312766168985E-3</v>
      </c>
      <c r="X387" s="16">
        <v>4.6543468339575348E-4</v>
      </c>
    </row>
    <row r="388" spans="1:24" x14ac:dyDescent="0.2">
      <c r="A388" t="s">
        <v>13</v>
      </c>
      <c r="B388" t="s">
        <v>20</v>
      </c>
      <c r="C388" t="s">
        <v>33</v>
      </c>
      <c r="D388" t="s">
        <v>87</v>
      </c>
      <c r="E388" t="s">
        <v>298</v>
      </c>
      <c r="F388" t="s">
        <v>771</v>
      </c>
      <c r="H388" t="s">
        <v>1669</v>
      </c>
      <c r="I388" t="s">
        <v>1670</v>
      </c>
      <c r="J388" t="s">
        <v>1674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1</v>
      </c>
      <c r="Q388">
        <f>N388-K388</f>
        <v>0</v>
      </c>
      <c r="R388">
        <f>O388-L388</f>
        <v>0</v>
      </c>
      <c r="S388">
        <f>P388-M388</f>
        <v>0</v>
      </c>
      <c r="T388">
        <v>2</v>
      </c>
      <c r="U388" s="14">
        <v>30111</v>
      </c>
      <c r="V388" s="14">
        <v>4</v>
      </c>
      <c r="W388" s="16">
        <v>9.7321397582660776E-5</v>
      </c>
      <c r="X388" s="16">
        <v>7.2441195859261247E-6</v>
      </c>
    </row>
    <row r="389" spans="1:24" x14ac:dyDescent="0.2">
      <c r="A389" t="s">
        <v>13</v>
      </c>
      <c r="B389" t="s">
        <v>20</v>
      </c>
      <c r="C389" t="s">
        <v>33</v>
      </c>
      <c r="D389" t="s">
        <v>88</v>
      </c>
      <c r="E389" t="s">
        <v>302</v>
      </c>
      <c r="F389" t="s">
        <v>792</v>
      </c>
      <c r="H389" t="s">
        <v>1669</v>
      </c>
      <c r="I389" t="s">
        <v>1670</v>
      </c>
      <c r="J389" t="s">
        <v>1674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1</v>
      </c>
      <c r="Q389">
        <f>N389-K389</f>
        <v>0</v>
      </c>
      <c r="R389">
        <f>O389-L389</f>
        <v>0</v>
      </c>
      <c r="S389">
        <f>P389-M389</f>
        <v>0</v>
      </c>
      <c r="T389">
        <v>2</v>
      </c>
      <c r="U389" s="14">
        <v>31491.67</v>
      </c>
      <c r="V389" s="14">
        <v>13</v>
      </c>
      <c r="W389" s="16">
        <v>1.0178384432971175E-4</v>
      </c>
      <c r="X389" s="16">
        <v>2.3543388654259903E-5</v>
      </c>
    </row>
    <row r="390" spans="1:24" x14ac:dyDescent="0.2">
      <c r="A390" t="s">
        <v>13</v>
      </c>
      <c r="B390" t="s">
        <v>22</v>
      </c>
      <c r="C390" t="s">
        <v>36</v>
      </c>
      <c r="D390" t="s">
        <v>89</v>
      </c>
      <c r="E390" t="s">
        <v>308</v>
      </c>
      <c r="F390" t="s">
        <v>805</v>
      </c>
      <c r="H390" t="s">
        <v>1669</v>
      </c>
      <c r="I390" t="s">
        <v>1670</v>
      </c>
      <c r="J390" t="s">
        <v>1674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1</v>
      </c>
      <c r="Q390">
        <f>N390-K390</f>
        <v>0</v>
      </c>
      <c r="R390">
        <f>O390-L390</f>
        <v>0</v>
      </c>
      <c r="S390">
        <f>P390-M390</f>
        <v>0</v>
      </c>
      <c r="T390">
        <v>7</v>
      </c>
      <c r="U390" s="14">
        <v>7161.34</v>
      </c>
      <c r="V390" s="14">
        <v>21</v>
      </c>
      <c r="W390" s="16">
        <v>2.3146080082515091E-5</v>
      </c>
      <c r="X390" s="16">
        <v>3.8031627826112152E-5</v>
      </c>
    </row>
    <row r="391" spans="1:24" x14ac:dyDescent="0.2">
      <c r="A391" t="s">
        <v>13</v>
      </c>
      <c r="B391" t="s">
        <v>22</v>
      </c>
      <c r="C391" t="s">
        <v>36</v>
      </c>
      <c r="D391" t="s">
        <v>89</v>
      </c>
      <c r="E391" t="s">
        <v>309</v>
      </c>
      <c r="F391" t="s">
        <v>309</v>
      </c>
      <c r="H391" t="s">
        <v>1669</v>
      </c>
      <c r="I391" t="s">
        <v>1670</v>
      </c>
      <c r="J391" t="s">
        <v>1673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f>N391-K391</f>
        <v>0</v>
      </c>
      <c r="R391">
        <f>O391-L391</f>
        <v>0</v>
      </c>
      <c r="S391">
        <f>P391-M391</f>
        <v>0</v>
      </c>
      <c r="T391">
        <v>0</v>
      </c>
      <c r="U391" s="14">
        <v>0</v>
      </c>
      <c r="V391" s="14">
        <v>0</v>
      </c>
      <c r="W391" s="16">
        <v>0</v>
      </c>
      <c r="X391" s="16">
        <v>0</v>
      </c>
    </row>
    <row r="392" spans="1:24" x14ac:dyDescent="0.2">
      <c r="A392" t="s">
        <v>13</v>
      </c>
      <c r="B392" t="s">
        <v>22</v>
      </c>
      <c r="C392" t="s">
        <v>36</v>
      </c>
      <c r="D392" t="s">
        <v>92</v>
      </c>
      <c r="E392" t="s">
        <v>314</v>
      </c>
      <c r="F392" t="s">
        <v>809</v>
      </c>
      <c r="H392" t="s">
        <v>1669</v>
      </c>
      <c r="I392" t="s">
        <v>1670</v>
      </c>
      <c r="J392" t="s">
        <v>1674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</v>
      </c>
      <c r="Q392">
        <f>N392-K392</f>
        <v>0</v>
      </c>
      <c r="R392">
        <f>O392-L392</f>
        <v>0</v>
      </c>
      <c r="S392">
        <f>P392-M392</f>
        <v>0</v>
      </c>
      <c r="T392">
        <v>9</v>
      </c>
      <c r="U392" s="14">
        <v>27334.75</v>
      </c>
      <c r="V392" s="14">
        <v>69</v>
      </c>
      <c r="W392" s="16">
        <v>8.8348313658551242E-5</v>
      </c>
      <c r="X392" s="16">
        <v>1.2496106285722565E-4</v>
      </c>
    </row>
    <row r="393" spans="1:24" x14ac:dyDescent="0.2">
      <c r="A393" t="s">
        <v>13</v>
      </c>
      <c r="B393" t="s">
        <v>22</v>
      </c>
      <c r="C393" t="s">
        <v>36</v>
      </c>
      <c r="D393" t="s">
        <v>92</v>
      </c>
      <c r="E393" t="s">
        <v>314</v>
      </c>
      <c r="F393" t="s">
        <v>810</v>
      </c>
      <c r="H393" t="s">
        <v>1669</v>
      </c>
      <c r="I393" t="s">
        <v>1670</v>
      </c>
      <c r="J393" t="s">
        <v>1673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f>N393-K393</f>
        <v>0</v>
      </c>
      <c r="R393">
        <f>O393-L393</f>
        <v>0</v>
      </c>
      <c r="S393">
        <f>P393-M393</f>
        <v>0</v>
      </c>
      <c r="T393">
        <v>0</v>
      </c>
      <c r="U393" s="14">
        <v>0</v>
      </c>
      <c r="V393" s="14">
        <v>0</v>
      </c>
      <c r="W393" s="16">
        <v>0</v>
      </c>
      <c r="X393" s="16">
        <v>0</v>
      </c>
    </row>
    <row r="394" spans="1:24" x14ac:dyDescent="0.2">
      <c r="A394" t="s">
        <v>13</v>
      </c>
      <c r="B394" t="s">
        <v>22</v>
      </c>
      <c r="C394" t="s">
        <v>36</v>
      </c>
      <c r="D394" t="s">
        <v>92</v>
      </c>
      <c r="E394" t="s">
        <v>315</v>
      </c>
      <c r="F394" t="s">
        <v>811</v>
      </c>
      <c r="H394" t="s">
        <v>1669</v>
      </c>
      <c r="I394" t="s">
        <v>1671</v>
      </c>
      <c r="J394" t="s">
        <v>1674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1</v>
      </c>
      <c r="Q394">
        <f>N394-K394</f>
        <v>0</v>
      </c>
      <c r="R394">
        <f>O394-L394</f>
        <v>0</v>
      </c>
      <c r="S394">
        <f>P394-M394</f>
        <v>0</v>
      </c>
      <c r="T394">
        <v>5</v>
      </c>
      <c r="U394" s="14">
        <v>10678.59</v>
      </c>
      <c r="V394" s="14">
        <v>18</v>
      </c>
      <c r="W394" s="16">
        <v>3.4514141111627824E-5</v>
      </c>
      <c r="X394" s="16">
        <v>3.259853813666756E-5</v>
      </c>
    </row>
    <row r="395" spans="1:24" x14ac:dyDescent="0.2">
      <c r="A395" t="s">
        <v>13</v>
      </c>
      <c r="B395" t="s">
        <v>20</v>
      </c>
      <c r="C395" t="s">
        <v>31</v>
      </c>
      <c r="D395" t="s">
        <v>82</v>
      </c>
      <c r="E395" t="s">
        <v>316</v>
      </c>
      <c r="F395" t="s">
        <v>815</v>
      </c>
      <c r="H395" t="s">
        <v>1669</v>
      </c>
      <c r="I395" t="s">
        <v>1670</v>
      </c>
      <c r="J395" t="s">
        <v>1673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f>N395-K395</f>
        <v>0</v>
      </c>
      <c r="R395">
        <f>O395-L395</f>
        <v>0</v>
      </c>
      <c r="S395">
        <f>P395-M395</f>
        <v>0</v>
      </c>
      <c r="T395">
        <v>0</v>
      </c>
      <c r="U395" s="14">
        <v>0</v>
      </c>
      <c r="V395" s="14">
        <v>0</v>
      </c>
      <c r="W395" s="16">
        <v>0</v>
      </c>
      <c r="X395" s="16">
        <v>0</v>
      </c>
    </row>
    <row r="396" spans="1:24" x14ac:dyDescent="0.2">
      <c r="A396" t="s">
        <v>13</v>
      </c>
      <c r="B396" t="s">
        <v>20</v>
      </c>
      <c r="C396" t="s">
        <v>31</v>
      </c>
      <c r="D396" t="s">
        <v>82</v>
      </c>
      <c r="E396" t="s">
        <v>316</v>
      </c>
      <c r="F396" t="s">
        <v>816</v>
      </c>
      <c r="H396" t="s">
        <v>1669</v>
      </c>
      <c r="I396" t="s">
        <v>1670</v>
      </c>
      <c r="J396" t="s">
        <v>1674</v>
      </c>
      <c r="K396">
        <v>3</v>
      </c>
      <c r="L396">
        <v>0</v>
      </c>
      <c r="M396">
        <v>3</v>
      </c>
      <c r="N396">
        <v>3</v>
      </c>
      <c r="O396">
        <v>0</v>
      </c>
      <c r="P396">
        <v>3</v>
      </c>
      <c r="Q396">
        <f>N396-K396</f>
        <v>0</v>
      </c>
      <c r="R396">
        <f>O396-L396</f>
        <v>0</v>
      </c>
      <c r="S396">
        <f>P396-M396</f>
        <v>0</v>
      </c>
      <c r="T396">
        <v>17</v>
      </c>
      <c r="U396" s="14">
        <v>88748.84</v>
      </c>
      <c r="V396" s="14">
        <v>122</v>
      </c>
      <c r="W396" s="16">
        <v>2.8684404844209584E-4</v>
      </c>
      <c r="X396" s="16">
        <v>2.2094564737074681E-4</v>
      </c>
    </row>
    <row r="397" spans="1:24" x14ac:dyDescent="0.2">
      <c r="A397" t="s">
        <v>13</v>
      </c>
      <c r="B397" t="s">
        <v>20</v>
      </c>
      <c r="C397" t="s">
        <v>31</v>
      </c>
      <c r="D397" t="s">
        <v>82</v>
      </c>
      <c r="E397" t="s">
        <v>316</v>
      </c>
      <c r="F397" t="s">
        <v>817</v>
      </c>
      <c r="H397" t="s">
        <v>1669</v>
      </c>
      <c r="I397" t="s">
        <v>1670</v>
      </c>
      <c r="J397" t="s">
        <v>1673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f>N397-K397</f>
        <v>0</v>
      </c>
      <c r="R397">
        <f>O397-L397</f>
        <v>0</v>
      </c>
      <c r="S397">
        <f>P397-M397</f>
        <v>0</v>
      </c>
      <c r="T397">
        <v>0</v>
      </c>
      <c r="U397" s="14">
        <v>0</v>
      </c>
      <c r="V397" s="14">
        <v>0</v>
      </c>
      <c r="W397" s="16">
        <v>0</v>
      </c>
      <c r="X397" s="16">
        <v>0</v>
      </c>
    </row>
    <row r="398" spans="1:24" x14ac:dyDescent="0.2">
      <c r="A398" t="s">
        <v>13</v>
      </c>
      <c r="B398" t="s">
        <v>20</v>
      </c>
      <c r="C398" t="s">
        <v>31</v>
      </c>
      <c r="D398" t="s">
        <v>82</v>
      </c>
      <c r="E398" t="s">
        <v>317</v>
      </c>
      <c r="F398" t="s">
        <v>820</v>
      </c>
      <c r="H398" t="s">
        <v>1669</v>
      </c>
      <c r="I398" t="s">
        <v>1670</v>
      </c>
      <c r="J398" t="s">
        <v>1674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1</v>
      </c>
      <c r="Q398">
        <f>N398-K398</f>
        <v>0</v>
      </c>
      <c r="R398">
        <f>O398-L398</f>
        <v>0</v>
      </c>
      <c r="S398">
        <f>P398-M398</f>
        <v>0</v>
      </c>
      <c r="T398">
        <v>4</v>
      </c>
      <c r="U398" s="14">
        <v>9899</v>
      </c>
      <c r="V398" s="14">
        <v>6</v>
      </c>
      <c r="W398" s="16">
        <v>3.1994437736068515E-5</v>
      </c>
      <c r="X398" s="16">
        <v>1.0866179378889186E-5</v>
      </c>
    </row>
    <row r="399" spans="1:24" x14ac:dyDescent="0.2">
      <c r="A399" t="s">
        <v>13</v>
      </c>
      <c r="B399" t="s">
        <v>20</v>
      </c>
      <c r="C399" t="s">
        <v>31</v>
      </c>
      <c r="D399" t="s">
        <v>93</v>
      </c>
      <c r="E399" t="s">
        <v>319</v>
      </c>
      <c r="F399" t="s">
        <v>823</v>
      </c>
      <c r="H399" t="s">
        <v>1669</v>
      </c>
      <c r="I399" t="s">
        <v>1671</v>
      </c>
      <c r="J399" t="s">
        <v>1674</v>
      </c>
      <c r="K399">
        <v>2</v>
      </c>
      <c r="L399">
        <v>0</v>
      </c>
      <c r="M399">
        <v>2</v>
      </c>
      <c r="N399">
        <v>2</v>
      </c>
      <c r="O399">
        <v>0</v>
      </c>
      <c r="P399">
        <v>2</v>
      </c>
      <c r="Q399">
        <f>N399-K399</f>
        <v>0</v>
      </c>
      <c r="R399">
        <f>O399-L399</f>
        <v>0</v>
      </c>
      <c r="S399">
        <f>P399-M399</f>
        <v>0</v>
      </c>
      <c r="T399">
        <v>1</v>
      </c>
      <c r="U399" s="14">
        <v>7340.9</v>
      </c>
      <c r="V399" s="14">
        <v>11</v>
      </c>
      <c r="W399" s="16">
        <v>2.3726433778836784E-5</v>
      </c>
      <c r="X399" s="16">
        <v>1.9921328861296842E-5</v>
      </c>
    </row>
    <row r="400" spans="1:24" x14ac:dyDescent="0.2">
      <c r="A400" t="s">
        <v>13</v>
      </c>
      <c r="B400" t="s">
        <v>20</v>
      </c>
      <c r="C400" t="s">
        <v>31</v>
      </c>
      <c r="D400" t="s">
        <v>93</v>
      </c>
      <c r="E400" t="s">
        <v>320</v>
      </c>
      <c r="F400" t="s">
        <v>828</v>
      </c>
      <c r="H400" t="s">
        <v>1669</v>
      </c>
      <c r="I400" t="s">
        <v>1670</v>
      </c>
      <c r="J400" t="s">
        <v>1674</v>
      </c>
      <c r="K400">
        <v>7</v>
      </c>
      <c r="L400">
        <v>0</v>
      </c>
      <c r="M400">
        <v>7</v>
      </c>
      <c r="N400">
        <v>7</v>
      </c>
      <c r="O400">
        <v>0</v>
      </c>
      <c r="P400">
        <v>7</v>
      </c>
      <c r="Q400">
        <f>N400-K400</f>
        <v>0</v>
      </c>
      <c r="R400">
        <f>O400-L400</f>
        <v>0</v>
      </c>
      <c r="S400">
        <f>P400-M400</f>
        <v>0</v>
      </c>
      <c r="T400">
        <v>12</v>
      </c>
      <c r="U400" s="14">
        <v>22273.780000000002</v>
      </c>
      <c r="V400" s="14">
        <v>74</v>
      </c>
      <c r="W400" s="16">
        <v>7.1990813956650989E-5</v>
      </c>
      <c r="X400" s="16">
        <v>1.340162123396333E-4</v>
      </c>
    </row>
    <row r="401" spans="1:24" x14ac:dyDescent="0.2">
      <c r="A401" t="s">
        <v>13</v>
      </c>
      <c r="B401" t="s">
        <v>20</v>
      </c>
      <c r="C401" t="s">
        <v>31</v>
      </c>
      <c r="D401" t="s">
        <v>93</v>
      </c>
      <c r="E401" t="s">
        <v>321</v>
      </c>
      <c r="F401" t="s">
        <v>321</v>
      </c>
      <c r="H401" t="s">
        <v>1669</v>
      </c>
      <c r="I401" t="s">
        <v>1670</v>
      </c>
      <c r="J401" t="s">
        <v>1674</v>
      </c>
      <c r="K401">
        <v>6</v>
      </c>
      <c r="L401">
        <v>1</v>
      </c>
      <c r="M401">
        <v>7</v>
      </c>
      <c r="N401">
        <v>6</v>
      </c>
      <c r="O401">
        <v>1</v>
      </c>
      <c r="P401">
        <v>7</v>
      </c>
      <c r="Q401">
        <f>N401-K401</f>
        <v>0</v>
      </c>
      <c r="R401">
        <f>O401-L401</f>
        <v>0</v>
      </c>
      <c r="S401">
        <f>P401-M401</f>
        <v>0</v>
      </c>
      <c r="T401">
        <v>10</v>
      </c>
      <c r="U401" s="14">
        <v>23859.210000000003</v>
      </c>
      <c r="V401" s="14">
        <v>145</v>
      </c>
      <c r="W401" s="16">
        <v>7.7115063014120949E-5</v>
      </c>
      <c r="X401" s="16">
        <v>2.6259933498982199E-4</v>
      </c>
    </row>
    <row r="402" spans="1:24" x14ac:dyDescent="0.2">
      <c r="A402" t="s">
        <v>13</v>
      </c>
      <c r="B402" t="s">
        <v>22</v>
      </c>
      <c r="C402" t="s">
        <v>31</v>
      </c>
      <c r="D402" t="s">
        <v>94</v>
      </c>
      <c r="E402" t="s">
        <v>323</v>
      </c>
      <c r="F402" t="s">
        <v>833</v>
      </c>
      <c r="H402" t="s">
        <v>1669</v>
      </c>
      <c r="I402" t="s">
        <v>1670</v>
      </c>
      <c r="J402" t="s">
        <v>1674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1</v>
      </c>
      <c r="Q402">
        <f>N402-K402</f>
        <v>0</v>
      </c>
      <c r="R402">
        <f>O402-L402</f>
        <v>0</v>
      </c>
      <c r="S402">
        <f>P402-M402</f>
        <v>0</v>
      </c>
      <c r="T402">
        <v>0</v>
      </c>
      <c r="U402" s="14">
        <v>0</v>
      </c>
      <c r="V402" s="14">
        <v>0</v>
      </c>
      <c r="W402" s="16">
        <v>0</v>
      </c>
      <c r="X402" s="16">
        <v>0</v>
      </c>
    </row>
    <row r="403" spans="1:24" x14ac:dyDescent="0.2">
      <c r="A403" t="s">
        <v>13</v>
      </c>
      <c r="B403" t="s">
        <v>21</v>
      </c>
      <c r="C403" t="s">
        <v>35</v>
      </c>
      <c r="D403" t="s">
        <v>86</v>
      </c>
      <c r="E403" t="s">
        <v>86</v>
      </c>
      <c r="F403" t="s">
        <v>836</v>
      </c>
      <c r="H403" t="s">
        <v>1669</v>
      </c>
      <c r="I403" t="s">
        <v>1670</v>
      </c>
      <c r="J403" t="s">
        <v>1674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Q403">
        <f>N403-K403</f>
        <v>0</v>
      </c>
      <c r="R403">
        <f>O403-L403</f>
        <v>0</v>
      </c>
      <c r="S403">
        <f>P403-M403</f>
        <v>0</v>
      </c>
      <c r="T403">
        <v>0</v>
      </c>
      <c r="U403" s="14">
        <v>0</v>
      </c>
      <c r="V403" s="14">
        <v>0</v>
      </c>
      <c r="W403" s="16">
        <v>0</v>
      </c>
      <c r="X403" s="16">
        <v>0</v>
      </c>
    </row>
    <row r="404" spans="1:24" x14ac:dyDescent="0.2">
      <c r="A404" t="s">
        <v>13</v>
      </c>
      <c r="B404" t="s">
        <v>21</v>
      </c>
      <c r="C404" t="s">
        <v>35</v>
      </c>
      <c r="D404" t="s">
        <v>86</v>
      </c>
      <c r="E404" t="s">
        <v>86</v>
      </c>
      <c r="F404" t="s">
        <v>837</v>
      </c>
      <c r="H404" t="s">
        <v>1669</v>
      </c>
      <c r="I404" t="s">
        <v>1670</v>
      </c>
      <c r="J404" t="s">
        <v>1674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</v>
      </c>
      <c r="Q404">
        <f>N404-K404</f>
        <v>0</v>
      </c>
      <c r="R404">
        <f>O404-L404</f>
        <v>0</v>
      </c>
      <c r="S404">
        <f>P404-M404</f>
        <v>0</v>
      </c>
      <c r="T404">
        <v>4</v>
      </c>
      <c r="U404" s="14">
        <v>15999.900000000001</v>
      </c>
      <c r="V404" s="14">
        <v>18</v>
      </c>
      <c r="W404" s="16">
        <v>5.1713082567261606E-5</v>
      </c>
      <c r="X404" s="16">
        <v>3.259853813666756E-5</v>
      </c>
    </row>
    <row r="405" spans="1:24" x14ac:dyDescent="0.2">
      <c r="A405" t="s">
        <v>13</v>
      </c>
      <c r="B405" t="s">
        <v>21</v>
      </c>
      <c r="C405" t="s">
        <v>35</v>
      </c>
      <c r="D405" t="s">
        <v>95</v>
      </c>
      <c r="E405" t="s">
        <v>324</v>
      </c>
      <c r="F405" t="s">
        <v>839</v>
      </c>
      <c r="H405" t="s">
        <v>1669</v>
      </c>
      <c r="I405" t="s">
        <v>1671</v>
      </c>
      <c r="J405" t="s">
        <v>1674</v>
      </c>
      <c r="K405">
        <v>2</v>
      </c>
      <c r="L405">
        <v>1</v>
      </c>
      <c r="M405">
        <v>3</v>
      </c>
      <c r="N405">
        <v>2</v>
      </c>
      <c r="O405">
        <v>1</v>
      </c>
      <c r="P405">
        <v>3</v>
      </c>
      <c r="Q405">
        <f>N405-K405</f>
        <v>0</v>
      </c>
      <c r="R405">
        <f>O405-L405</f>
        <v>0</v>
      </c>
      <c r="S405">
        <f>P405-M405</f>
        <v>0</v>
      </c>
      <c r="T405">
        <v>12</v>
      </c>
      <c r="U405" s="14">
        <v>66386.740000000005</v>
      </c>
      <c r="V405" s="14">
        <v>349</v>
      </c>
      <c r="W405" s="16">
        <v>2.1456777648556108E-4</v>
      </c>
      <c r="X405" s="16">
        <v>6.3204943387205437E-4</v>
      </c>
    </row>
    <row r="406" spans="1:24" x14ac:dyDescent="0.2">
      <c r="A406" t="s">
        <v>16</v>
      </c>
      <c r="B406" t="s">
        <v>22</v>
      </c>
      <c r="C406" t="s">
        <v>39</v>
      </c>
      <c r="D406" t="s">
        <v>161</v>
      </c>
      <c r="E406" t="s">
        <v>455</v>
      </c>
      <c r="F406" t="s">
        <v>1397</v>
      </c>
      <c r="H406" t="s">
        <v>1670</v>
      </c>
      <c r="I406" t="s">
        <v>1670</v>
      </c>
      <c r="J406" t="s">
        <v>1674</v>
      </c>
      <c r="K406">
        <v>0</v>
      </c>
      <c r="L406">
        <v>0</v>
      </c>
      <c r="M406">
        <v>0</v>
      </c>
      <c r="N406">
        <v>4</v>
      </c>
      <c r="O406">
        <v>0</v>
      </c>
      <c r="P406">
        <v>4</v>
      </c>
      <c r="Q406">
        <f>N406-K406</f>
        <v>4</v>
      </c>
      <c r="R406">
        <f>O406-L406</f>
        <v>0</v>
      </c>
      <c r="S406">
        <f>P406-M406</f>
        <v>4</v>
      </c>
      <c r="T406">
        <v>16</v>
      </c>
      <c r="U406" s="14">
        <v>50816.760000000009</v>
      </c>
      <c r="V406" s="14">
        <v>283</v>
      </c>
      <c r="W406" s="16">
        <v>1.6424423313150189E-4</v>
      </c>
      <c r="X406" s="16">
        <v>5.1252146070427328E-4</v>
      </c>
    </row>
    <row r="407" spans="1:24" x14ac:dyDescent="0.2">
      <c r="A407" t="s">
        <v>13</v>
      </c>
      <c r="B407" t="s">
        <v>20</v>
      </c>
      <c r="C407" t="s">
        <v>38</v>
      </c>
      <c r="D407" t="s">
        <v>102</v>
      </c>
      <c r="E407" t="s">
        <v>336</v>
      </c>
      <c r="F407" t="s">
        <v>842</v>
      </c>
      <c r="H407" t="s">
        <v>1669</v>
      </c>
      <c r="I407" t="s">
        <v>1670</v>
      </c>
      <c r="J407" t="s">
        <v>1674</v>
      </c>
      <c r="K407">
        <v>16</v>
      </c>
      <c r="L407">
        <v>2</v>
      </c>
      <c r="M407">
        <v>18</v>
      </c>
      <c r="N407">
        <v>16</v>
      </c>
      <c r="O407">
        <v>2</v>
      </c>
      <c r="P407">
        <v>18</v>
      </c>
      <c r="Q407">
        <f>N407-K407</f>
        <v>0</v>
      </c>
      <c r="R407">
        <f>O407-L407</f>
        <v>0</v>
      </c>
      <c r="S407">
        <f>P407-M407</f>
        <v>0</v>
      </c>
      <c r="T407">
        <v>196</v>
      </c>
      <c r="U407" s="14">
        <v>839695.30000000028</v>
      </c>
      <c r="V407" s="14">
        <v>958</v>
      </c>
      <c r="W407" s="16">
        <v>2.7139689860712574E-3</v>
      </c>
      <c r="X407" s="16">
        <v>1.7349666408293068E-3</v>
      </c>
    </row>
    <row r="408" spans="1:24" x14ac:dyDescent="0.2">
      <c r="A408" t="s">
        <v>13</v>
      </c>
      <c r="B408" t="s">
        <v>22</v>
      </c>
      <c r="C408" t="s">
        <v>46</v>
      </c>
      <c r="D408" t="s">
        <v>170</v>
      </c>
      <c r="E408" t="s">
        <v>615</v>
      </c>
      <c r="F408" t="s">
        <v>1572</v>
      </c>
      <c r="G408" t="s">
        <v>1719</v>
      </c>
      <c r="H408" t="s">
        <v>1670</v>
      </c>
      <c r="I408" t="s">
        <v>1672</v>
      </c>
      <c r="J408" t="s">
        <v>1674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f>N408-K408</f>
        <v>0</v>
      </c>
      <c r="R408">
        <f>O408-L408</f>
        <v>0</v>
      </c>
      <c r="S408">
        <f>P408-M408</f>
        <v>0</v>
      </c>
      <c r="T408">
        <v>14</v>
      </c>
      <c r="U408" s="14">
        <v>48997</v>
      </c>
      <c r="V408" s="14">
        <v>31</v>
      </c>
      <c r="W408" s="16">
        <v>1.5836260892556308E-4</v>
      </c>
      <c r="X408" s="16">
        <v>5.6141926790927467E-5</v>
      </c>
    </row>
    <row r="409" spans="1:24" x14ac:dyDescent="0.2">
      <c r="A409" t="s">
        <v>16</v>
      </c>
      <c r="B409" t="s">
        <v>22</v>
      </c>
      <c r="C409" t="s">
        <v>39</v>
      </c>
      <c r="D409" t="s">
        <v>157</v>
      </c>
      <c r="E409" t="s">
        <v>440</v>
      </c>
      <c r="F409" t="s">
        <v>1005</v>
      </c>
      <c r="H409" t="s">
        <v>1670</v>
      </c>
      <c r="I409" t="s">
        <v>1670</v>
      </c>
      <c r="J409" t="s">
        <v>1674</v>
      </c>
      <c r="K409">
        <v>1</v>
      </c>
      <c r="L409">
        <v>0</v>
      </c>
      <c r="M409">
        <v>1</v>
      </c>
      <c r="N409">
        <v>5</v>
      </c>
      <c r="O409">
        <v>0</v>
      </c>
      <c r="P409">
        <v>5</v>
      </c>
      <c r="Q409">
        <f>N409-K409</f>
        <v>4</v>
      </c>
      <c r="R409">
        <f>O409-L409</f>
        <v>0</v>
      </c>
      <c r="S409">
        <f>P409-M409</f>
        <v>4</v>
      </c>
      <c r="T409">
        <v>16</v>
      </c>
      <c r="U409" s="14">
        <v>45688.2</v>
      </c>
      <c r="V409" s="14">
        <v>112</v>
      </c>
      <c r="W409" s="16">
        <v>1.4766827661107641E-4</v>
      </c>
      <c r="X409" s="16">
        <v>2.028353484059315E-4</v>
      </c>
    </row>
    <row r="410" spans="1:24" x14ac:dyDescent="0.2">
      <c r="A410" t="s">
        <v>14</v>
      </c>
      <c r="B410" t="s">
        <v>23</v>
      </c>
      <c r="C410" t="s">
        <v>45</v>
      </c>
      <c r="D410" t="s">
        <v>121</v>
      </c>
      <c r="E410" t="s">
        <v>364</v>
      </c>
      <c r="F410" t="s">
        <v>874</v>
      </c>
      <c r="H410" t="s">
        <v>1669</v>
      </c>
      <c r="I410" t="s">
        <v>1671</v>
      </c>
      <c r="J410" t="s">
        <v>1673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f>N410-K410</f>
        <v>0</v>
      </c>
      <c r="R410">
        <f>O410-L410</f>
        <v>0</v>
      </c>
      <c r="S410">
        <f>P410-M410</f>
        <v>0</v>
      </c>
      <c r="T410">
        <v>1</v>
      </c>
      <c r="U410" s="14">
        <v>36.53</v>
      </c>
      <c r="V410" s="14">
        <v>1</v>
      </c>
      <c r="W410" s="16">
        <v>1.1806816956243892E-7</v>
      </c>
      <c r="X410" s="16">
        <v>1.8110298964815312E-6</v>
      </c>
    </row>
    <row r="411" spans="1:24" x14ac:dyDescent="0.2">
      <c r="A411" t="s">
        <v>15</v>
      </c>
      <c r="B411" t="s">
        <v>24</v>
      </c>
      <c r="C411" t="s">
        <v>58</v>
      </c>
      <c r="D411" t="s">
        <v>148</v>
      </c>
      <c r="E411" t="s">
        <v>404</v>
      </c>
      <c r="F411" t="s">
        <v>924</v>
      </c>
      <c r="H411" t="s">
        <v>1669</v>
      </c>
      <c r="I411" t="s">
        <v>1670</v>
      </c>
      <c r="J411" t="s">
        <v>1673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f>N411-K411</f>
        <v>0</v>
      </c>
      <c r="R411">
        <f>O411-L411</f>
        <v>0</v>
      </c>
      <c r="S411">
        <f>P411-M411</f>
        <v>0</v>
      </c>
      <c r="T411">
        <v>1</v>
      </c>
      <c r="U411" s="14">
        <v>140</v>
      </c>
      <c r="V411" s="14">
        <v>1</v>
      </c>
      <c r="W411" s="16">
        <v>4.5249230054041737E-7</v>
      </c>
      <c r="X411" s="16">
        <v>1.8110298964815312E-6</v>
      </c>
    </row>
    <row r="412" spans="1:24" x14ac:dyDescent="0.2">
      <c r="A412" t="s">
        <v>15</v>
      </c>
      <c r="B412" t="s">
        <v>24</v>
      </c>
      <c r="C412" t="s">
        <v>58</v>
      </c>
      <c r="D412" t="s">
        <v>148</v>
      </c>
      <c r="E412" t="s">
        <v>407</v>
      </c>
      <c r="F412" t="s">
        <v>939</v>
      </c>
      <c r="H412" t="s">
        <v>1669</v>
      </c>
      <c r="I412" t="s">
        <v>1670</v>
      </c>
      <c r="J412" t="s">
        <v>1674</v>
      </c>
      <c r="K412">
        <v>6</v>
      </c>
      <c r="L412">
        <v>1</v>
      </c>
      <c r="M412">
        <v>7</v>
      </c>
      <c r="N412">
        <v>6</v>
      </c>
      <c r="O412">
        <v>1</v>
      </c>
      <c r="P412">
        <v>7</v>
      </c>
      <c r="Q412">
        <f>N412-K412</f>
        <v>0</v>
      </c>
      <c r="R412">
        <f>O412-L412</f>
        <v>0</v>
      </c>
      <c r="S412">
        <f>P412-M412</f>
        <v>0</v>
      </c>
      <c r="T412">
        <v>54</v>
      </c>
      <c r="U412" s="14">
        <v>206898.98999999996</v>
      </c>
      <c r="V412" s="14">
        <v>1169</v>
      </c>
      <c r="W412" s="16">
        <v>6.6871571403277709E-4</v>
      </c>
      <c r="X412" s="16">
        <v>2.1170939489869099E-3</v>
      </c>
    </row>
    <row r="413" spans="1:24" x14ac:dyDescent="0.2">
      <c r="A413" t="s">
        <v>15</v>
      </c>
      <c r="B413" t="s">
        <v>24</v>
      </c>
      <c r="C413" t="s">
        <v>58</v>
      </c>
      <c r="D413" t="s">
        <v>149</v>
      </c>
      <c r="E413" t="s">
        <v>412</v>
      </c>
      <c r="F413" t="s">
        <v>952</v>
      </c>
      <c r="H413" t="s">
        <v>1669</v>
      </c>
      <c r="I413" t="s">
        <v>1670</v>
      </c>
      <c r="J413" t="s">
        <v>1673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f>N413-K413</f>
        <v>0</v>
      </c>
      <c r="R413">
        <f>O413-L413</f>
        <v>0</v>
      </c>
      <c r="S413">
        <f>P413-M413</f>
        <v>0</v>
      </c>
      <c r="T413">
        <v>0</v>
      </c>
      <c r="U413" s="14">
        <v>0</v>
      </c>
      <c r="V413" s="14">
        <v>0</v>
      </c>
      <c r="W413" s="16">
        <v>0</v>
      </c>
      <c r="X413" s="16">
        <v>0</v>
      </c>
    </row>
    <row r="414" spans="1:24" x14ac:dyDescent="0.2">
      <c r="A414" t="s">
        <v>15</v>
      </c>
      <c r="B414" t="s">
        <v>24</v>
      </c>
      <c r="C414" t="s">
        <v>58</v>
      </c>
      <c r="D414" t="s">
        <v>149</v>
      </c>
      <c r="E414" t="s">
        <v>412</v>
      </c>
      <c r="F414" t="s">
        <v>953</v>
      </c>
      <c r="H414" t="s">
        <v>1669</v>
      </c>
      <c r="I414" t="s">
        <v>1670</v>
      </c>
      <c r="J414" t="s">
        <v>1673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f>N414-K414</f>
        <v>0</v>
      </c>
      <c r="R414">
        <f>O414-L414</f>
        <v>0</v>
      </c>
      <c r="S414">
        <f>P414-M414</f>
        <v>0</v>
      </c>
      <c r="T414">
        <v>0</v>
      </c>
      <c r="U414" s="14">
        <v>0</v>
      </c>
      <c r="V414" s="14">
        <v>0</v>
      </c>
      <c r="W414" s="16">
        <v>0</v>
      </c>
      <c r="X414" s="16">
        <v>0</v>
      </c>
    </row>
    <row r="415" spans="1:24" x14ac:dyDescent="0.2">
      <c r="A415" t="s">
        <v>15</v>
      </c>
      <c r="B415" t="s">
        <v>24</v>
      </c>
      <c r="C415" t="s">
        <v>58</v>
      </c>
      <c r="D415" t="s">
        <v>149</v>
      </c>
      <c r="E415" t="s">
        <v>415</v>
      </c>
      <c r="F415" t="s">
        <v>957</v>
      </c>
      <c r="H415" t="s">
        <v>1669</v>
      </c>
      <c r="I415" t="s">
        <v>1670</v>
      </c>
      <c r="J415" t="s">
        <v>1673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f>N415-K415</f>
        <v>0</v>
      </c>
      <c r="R415">
        <f>O415-L415</f>
        <v>0</v>
      </c>
      <c r="S415">
        <f>P415-M415</f>
        <v>0</v>
      </c>
      <c r="T415">
        <v>2</v>
      </c>
      <c r="U415" s="14">
        <v>1691.8400000000001</v>
      </c>
      <c r="V415" s="14">
        <v>5</v>
      </c>
      <c r="W415" s="16">
        <v>5.4681755267592845E-6</v>
      </c>
      <c r="X415" s="16">
        <v>9.0551494824076554E-6</v>
      </c>
    </row>
    <row r="416" spans="1:24" x14ac:dyDescent="0.2">
      <c r="A416" t="s">
        <v>15</v>
      </c>
      <c r="B416" t="s">
        <v>24</v>
      </c>
      <c r="C416" t="s">
        <v>58</v>
      </c>
      <c r="D416" t="s">
        <v>149</v>
      </c>
      <c r="E416" t="s">
        <v>418</v>
      </c>
      <c r="F416" t="s">
        <v>418</v>
      </c>
      <c r="H416" t="s">
        <v>1669</v>
      </c>
      <c r="I416" t="s">
        <v>1670</v>
      </c>
      <c r="J416" t="s">
        <v>1673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f>N416-K416</f>
        <v>0</v>
      </c>
      <c r="R416">
        <f>O416-L416</f>
        <v>0</v>
      </c>
      <c r="S416">
        <f>P416-M416</f>
        <v>0</v>
      </c>
      <c r="T416">
        <v>0</v>
      </c>
      <c r="U416" s="14">
        <v>0</v>
      </c>
      <c r="V416" s="14">
        <v>0</v>
      </c>
      <c r="W416" s="16">
        <v>0</v>
      </c>
      <c r="X416" s="16">
        <v>0</v>
      </c>
    </row>
    <row r="417" spans="1:24" x14ac:dyDescent="0.2">
      <c r="A417" t="s">
        <v>15</v>
      </c>
      <c r="B417" t="s">
        <v>24</v>
      </c>
      <c r="C417" t="s">
        <v>58</v>
      </c>
      <c r="D417" t="s">
        <v>149</v>
      </c>
      <c r="E417" t="s">
        <v>423</v>
      </c>
      <c r="F417" t="s">
        <v>961</v>
      </c>
      <c r="H417" t="s">
        <v>1669</v>
      </c>
      <c r="I417" t="s">
        <v>1670</v>
      </c>
      <c r="J417" t="s">
        <v>1673</v>
      </c>
      <c r="K417">
        <v>2</v>
      </c>
      <c r="L417">
        <v>0</v>
      </c>
      <c r="M417">
        <v>2</v>
      </c>
      <c r="N417">
        <v>2</v>
      </c>
      <c r="O417">
        <v>0</v>
      </c>
      <c r="P417">
        <v>2</v>
      </c>
      <c r="Q417">
        <f>N417-K417</f>
        <v>0</v>
      </c>
      <c r="R417">
        <f>O417-L417</f>
        <v>0</v>
      </c>
      <c r="S417">
        <f>P417-M417</f>
        <v>0</v>
      </c>
      <c r="T417">
        <v>8</v>
      </c>
      <c r="U417" s="14">
        <v>21954.739999999998</v>
      </c>
      <c r="V417" s="14">
        <v>36</v>
      </c>
      <c r="W417" s="16">
        <v>7.0959648645476587E-5</v>
      </c>
      <c r="X417" s="16">
        <v>6.519707627333512E-5</v>
      </c>
    </row>
    <row r="418" spans="1:24" x14ac:dyDescent="0.2">
      <c r="A418" t="s">
        <v>15</v>
      </c>
      <c r="B418" t="s">
        <v>24</v>
      </c>
      <c r="C418" t="s">
        <v>58</v>
      </c>
      <c r="D418" t="s">
        <v>150</v>
      </c>
      <c r="E418" t="s">
        <v>425</v>
      </c>
      <c r="F418" t="s">
        <v>969</v>
      </c>
      <c r="H418" t="s">
        <v>1669</v>
      </c>
      <c r="I418" t="s">
        <v>1670</v>
      </c>
      <c r="J418" t="s">
        <v>1674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1</v>
      </c>
      <c r="Q418">
        <f>N418-K418</f>
        <v>0</v>
      </c>
      <c r="R418">
        <f>O418-L418</f>
        <v>0</v>
      </c>
      <c r="S418">
        <f>P418-M418</f>
        <v>0</v>
      </c>
      <c r="T418">
        <v>3</v>
      </c>
      <c r="U418" s="14">
        <v>4558.7299999999996</v>
      </c>
      <c r="V418" s="14">
        <v>21</v>
      </c>
      <c r="W418" s="16">
        <v>1.473421589459012E-5</v>
      </c>
      <c r="X418" s="16">
        <v>3.8031627826112152E-5</v>
      </c>
    </row>
    <row r="419" spans="1:24" x14ac:dyDescent="0.2">
      <c r="A419" t="s">
        <v>15</v>
      </c>
      <c r="B419" t="s">
        <v>24</v>
      </c>
      <c r="C419" t="s">
        <v>58</v>
      </c>
      <c r="D419" t="s">
        <v>150</v>
      </c>
      <c r="E419" t="s">
        <v>425</v>
      </c>
      <c r="F419" t="s">
        <v>976</v>
      </c>
      <c r="H419" t="s">
        <v>1669</v>
      </c>
      <c r="I419" t="s">
        <v>1670</v>
      </c>
      <c r="J419" t="s">
        <v>1674</v>
      </c>
      <c r="K419">
        <v>1</v>
      </c>
      <c r="L419">
        <v>0</v>
      </c>
      <c r="M419">
        <v>1</v>
      </c>
      <c r="N419">
        <v>1</v>
      </c>
      <c r="O419">
        <v>0</v>
      </c>
      <c r="P419">
        <v>1</v>
      </c>
      <c r="Q419">
        <f>N419-K419</f>
        <v>0</v>
      </c>
      <c r="R419">
        <f>O419-L419</f>
        <v>0</v>
      </c>
      <c r="S419">
        <f>P419-M419</f>
        <v>0</v>
      </c>
      <c r="T419">
        <v>1</v>
      </c>
      <c r="U419" s="14">
        <v>1197.68</v>
      </c>
      <c r="V419" s="14">
        <v>3</v>
      </c>
      <c r="W419" s="16">
        <v>3.8710069893660509E-6</v>
      </c>
      <c r="X419" s="16">
        <v>5.4330896894445931E-6</v>
      </c>
    </row>
    <row r="420" spans="1:24" x14ac:dyDescent="0.2">
      <c r="A420" t="s">
        <v>15</v>
      </c>
      <c r="B420" t="s">
        <v>24</v>
      </c>
      <c r="C420" t="s">
        <v>58</v>
      </c>
      <c r="D420" t="s">
        <v>150</v>
      </c>
      <c r="E420" t="s">
        <v>425</v>
      </c>
      <c r="F420" t="s">
        <v>980</v>
      </c>
      <c r="H420" t="s">
        <v>1669</v>
      </c>
      <c r="I420" t="s">
        <v>1670</v>
      </c>
      <c r="J420" t="s">
        <v>1674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1</v>
      </c>
      <c r="Q420">
        <f>N420-K420</f>
        <v>0</v>
      </c>
      <c r="R420">
        <f>O420-L420</f>
        <v>0</v>
      </c>
      <c r="S420">
        <f>P420-M420</f>
        <v>0</v>
      </c>
      <c r="T420">
        <v>4</v>
      </c>
      <c r="U420" s="14">
        <v>12207.03</v>
      </c>
      <c r="V420" s="14">
        <v>39</v>
      </c>
      <c r="W420" s="16">
        <v>3.9454193481899222E-5</v>
      </c>
      <c r="X420" s="16">
        <v>7.0630165962779713E-5</v>
      </c>
    </row>
    <row r="421" spans="1:24" x14ac:dyDescent="0.2">
      <c r="A421" t="s">
        <v>15</v>
      </c>
      <c r="B421" t="s">
        <v>24</v>
      </c>
      <c r="C421" t="s">
        <v>58</v>
      </c>
      <c r="D421" t="s">
        <v>151</v>
      </c>
      <c r="E421" t="s">
        <v>427</v>
      </c>
      <c r="F421" t="s">
        <v>983</v>
      </c>
      <c r="H421" t="s">
        <v>1669</v>
      </c>
      <c r="I421" t="s">
        <v>1670</v>
      </c>
      <c r="J421" t="s">
        <v>1673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f>N421-K421</f>
        <v>0</v>
      </c>
      <c r="R421">
        <f>O421-L421</f>
        <v>0</v>
      </c>
      <c r="S421">
        <f>P421-M421</f>
        <v>0</v>
      </c>
      <c r="T421">
        <v>1</v>
      </c>
      <c r="U421" s="14">
        <v>403</v>
      </c>
      <c r="V421" s="14">
        <v>1</v>
      </c>
      <c r="W421" s="16">
        <v>1.3025314079842014E-6</v>
      </c>
      <c r="X421" s="16">
        <v>1.8110298964815312E-6</v>
      </c>
    </row>
    <row r="422" spans="1:24" x14ac:dyDescent="0.2">
      <c r="A422" t="s">
        <v>15</v>
      </c>
      <c r="B422" t="s">
        <v>24</v>
      </c>
      <c r="C422" t="s">
        <v>58</v>
      </c>
      <c r="D422" t="s">
        <v>151</v>
      </c>
      <c r="E422" t="s">
        <v>427</v>
      </c>
      <c r="F422" t="s">
        <v>984</v>
      </c>
      <c r="H422" t="s">
        <v>1669</v>
      </c>
      <c r="I422" t="s">
        <v>1670</v>
      </c>
      <c r="J422" t="s">
        <v>1673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f>N422-K422</f>
        <v>0</v>
      </c>
      <c r="R422">
        <f>O422-L422</f>
        <v>0</v>
      </c>
      <c r="S422">
        <f>P422-M422</f>
        <v>0</v>
      </c>
      <c r="T422">
        <v>0</v>
      </c>
      <c r="U422" s="14">
        <v>0</v>
      </c>
      <c r="V422" s="14">
        <v>0</v>
      </c>
      <c r="W422" s="16">
        <v>0</v>
      </c>
      <c r="X422" s="16">
        <v>0</v>
      </c>
    </row>
    <row r="423" spans="1:24" x14ac:dyDescent="0.2">
      <c r="A423" t="s">
        <v>15</v>
      </c>
      <c r="B423" t="s">
        <v>24</v>
      </c>
      <c r="C423" t="s">
        <v>58</v>
      </c>
      <c r="D423" t="s">
        <v>151</v>
      </c>
      <c r="E423" t="s">
        <v>428</v>
      </c>
      <c r="F423" t="s">
        <v>985</v>
      </c>
      <c r="H423" t="s">
        <v>1669</v>
      </c>
      <c r="I423" t="s">
        <v>1670</v>
      </c>
      <c r="J423" t="s">
        <v>1673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f>N423-K423</f>
        <v>0</v>
      </c>
      <c r="R423">
        <f>O423-L423</f>
        <v>0</v>
      </c>
      <c r="S423">
        <f>P423-M423</f>
        <v>0</v>
      </c>
      <c r="T423">
        <v>0</v>
      </c>
      <c r="U423" s="14">
        <v>0</v>
      </c>
      <c r="V423" s="14">
        <v>0</v>
      </c>
      <c r="W423" s="16">
        <v>0</v>
      </c>
      <c r="X423" s="16">
        <v>0</v>
      </c>
    </row>
    <row r="424" spans="1:24" x14ac:dyDescent="0.2">
      <c r="A424" t="s">
        <v>16</v>
      </c>
      <c r="B424" t="s">
        <v>22</v>
      </c>
      <c r="C424" t="s">
        <v>39</v>
      </c>
      <c r="D424" t="s">
        <v>161</v>
      </c>
      <c r="E424" t="s">
        <v>455</v>
      </c>
      <c r="F424" t="s">
        <v>1611</v>
      </c>
      <c r="H424" t="s">
        <v>1670</v>
      </c>
      <c r="I424" t="s">
        <v>1671</v>
      </c>
      <c r="J424" t="s">
        <v>1674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f>N424-K424</f>
        <v>0</v>
      </c>
      <c r="R424">
        <f>O424-L424</f>
        <v>0</v>
      </c>
      <c r="S424">
        <f>P424-M424</f>
        <v>0</v>
      </c>
      <c r="T424">
        <v>3</v>
      </c>
      <c r="U424" s="14">
        <v>41827.089999999997</v>
      </c>
      <c r="V424" s="14">
        <v>34</v>
      </c>
      <c r="W424" s="16">
        <v>1.3518882985007918E-4</v>
      </c>
      <c r="X424" s="16">
        <v>6.1575016480372059E-5</v>
      </c>
    </row>
    <row r="425" spans="1:24" x14ac:dyDescent="0.2">
      <c r="A425" t="s">
        <v>16</v>
      </c>
      <c r="B425" t="s">
        <v>22</v>
      </c>
      <c r="C425" t="s">
        <v>40</v>
      </c>
      <c r="D425" t="s">
        <v>107</v>
      </c>
      <c r="E425" t="s">
        <v>475</v>
      </c>
      <c r="F425" t="s">
        <v>1444</v>
      </c>
      <c r="H425" t="s">
        <v>1670</v>
      </c>
      <c r="I425" t="s">
        <v>1670</v>
      </c>
      <c r="J425" t="s">
        <v>1674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2</v>
      </c>
      <c r="Q425">
        <f>N425-K425</f>
        <v>2</v>
      </c>
      <c r="R425">
        <f>O425-L425</f>
        <v>0</v>
      </c>
      <c r="S425">
        <f>P425-M425</f>
        <v>2</v>
      </c>
      <c r="T425">
        <v>14</v>
      </c>
      <c r="U425" s="14">
        <v>41654.909999999996</v>
      </c>
      <c r="V425" s="14">
        <v>70</v>
      </c>
      <c r="W425" s="16">
        <v>1.3463232896217169E-4</v>
      </c>
      <c r="X425" s="16">
        <v>1.2677209275370718E-4</v>
      </c>
    </row>
    <row r="426" spans="1:24" x14ac:dyDescent="0.2">
      <c r="A426" t="s">
        <v>16</v>
      </c>
      <c r="B426" t="s">
        <v>22</v>
      </c>
      <c r="C426" t="s">
        <v>39</v>
      </c>
      <c r="D426" t="s">
        <v>156</v>
      </c>
      <c r="E426" t="s">
        <v>438</v>
      </c>
      <c r="F426" t="s">
        <v>1362</v>
      </c>
      <c r="H426" t="s">
        <v>1670</v>
      </c>
      <c r="I426" t="s">
        <v>1670</v>
      </c>
      <c r="J426" t="s">
        <v>1674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f>N426-K426</f>
        <v>0</v>
      </c>
      <c r="R426">
        <f>O426-L426</f>
        <v>0</v>
      </c>
      <c r="S426">
        <f>P426-M426</f>
        <v>0</v>
      </c>
      <c r="T426">
        <v>9</v>
      </c>
      <c r="U426" s="14">
        <v>41601.599999999999</v>
      </c>
      <c r="V426" s="14">
        <v>317</v>
      </c>
      <c r="W426" s="16">
        <v>1.3446002635830162E-4</v>
      </c>
      <c r="X426" s="16">
        <v>5.7409647718464538E-4</v>
      </c>
    </row>
    <row r="427" spans="1:24" x14ac:dyDescent="0.2">
      <c r="A427" t="s">
        <v>16</v>
      </c>
      <c r="B427" t="s">
        <v>22</v>
      </c>
      <c r="C427" t="s">
        <v>39</v>
      </c>
      <c r="D427" t="s">
        <v>159</v>
      </c>
      <c r="E427" t="s">
        <v>448</v>
      </c>
      <c r="F427" t="s">
        <v>1460</v>
      </c>
      <c r="H427" t="s">
        <v>1670</v>
      </c>
      <c r="I427" t="s">
        <v>1670</v>
      </c>
      <c r="J427" t="s">
        <v>1674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2</v>
      </c>
      <c r="Q427">
        <f>N427-K427</f>
        <v>2</v>
      </c>
      <c r="R427">
        <f>O427-L427</f>
        <v>0</v>
      </c>
      <c r="S427">
        <f>P427-M427</f>
        <v>2</v>
      </c>
      <c r="T427">
        <v>8</v>
      </c>
      <c r="U427" s="14">
        <v>41239.519999999997</v>
      </c>
      <c r="V427" s="14">
        <v>49</v>
      </c>
      <c r="W427" s="16">
        <v>1.3328975198558966E-4</v>
      </c>
      <c r="X427" s="16">
        <v>8.874046492759502E-5</v>
      </c>
    </row>
    <row r="428" spans="1:24" x14ac:dyDescent="0.2">
      <c r="A428" t="s">
        <v>16</v>
      </c>
      <c r="B428" t="s">
        <v>22</v>
      </c>
      <c r="C428" t="s">
        <v>39</v>
      </c>
      <c r="D428" t="s">
        <v>156</v>
      </c>
      <c r="E428" t="s">
        <v>433</v>
      </c>
      <c r="F428" t="s">
        <v>1601</v>
      </c>
      <c r="H428" t="s">
        <v>1670</v>
      </c>
      <c r="I428" t="s">
        <v>1671</v>
      </c>
      <c r="J428" t="s">
        <v>1674</v>
      </c>
      <c r="K428">
        <v>0</v>
      </c>
      <c r="L428">
        <v>0</v>
      </c>
      <c r="M428">
        <v>0</v>
      </c>
      <c r="N428">
        <v>2</v>
      </c>
      <c r="O428">
        <v>0</v>
      </c>
      <c r="P428">
        <v>2</v>
      </c>
      <c r="Q428">
        <f>N428-K428</f>
        <v>2</v>
      </c>
      <c r="R428">
        <f>O428-L428</f>
        <v>0</v>
      </c>
      <c r="S428">
        <f>P428-M428</f>
        <v>2</v>
      </c>
      <c r="T428">
        <v>7</v>
      </c>
      <c r="U428" s="14">
        <v>41161.729999999996</v>
      </c>
      <c r="V428" s="14">
        <v>177</v>
      </c>
      <c r="W428" s="16">
        <v>1.3303832787088223E-4</v>
      </c>
      <c r="X428" s="16">
        <v>3.2055229167723102E-4</v>
      </c>
    </row>
    <row r="429" spans="1:24" x14ac:dyDescent="0.2">
      <c r="A429" t="s">
        <v>16</v>
      </c>
      <c r="B429" t="s">
        <v>22</v>
      </c>
      <c r="C429" t="s">
        <v>40</v>
      </c>
      <c r="D429" t="s">
        <v>107</v>
      </c>
      <c r="E429" t="s">
        <v>344</v>
      </c>
      <c r="F429" t="s">
        <v>1057</v>
      </c>
      <c r="H429" t="s">
        <v>1670</v>
      </c>
      <c r="I429" t="s">
        <v>1670</v>
      </c>
      <c r="J429" t="s">
        <v>1673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f>N429-K429</f>
        <v>-1</v>
      </c>
      <c r="R429">
        <f>O429-L429</f>
        <v>0</v>
      </c>
      <c r="S429">
        <f>P429-M429</f>
        <v>-1</v>
      </c>
      <c r="T429">
        <v>6</v>
      </c>
      <c r="U429" s="14">
        <v>40638.79</v>
      </c>
      <c r="V429" s="14">
        <v>22</v>
      </c>
      <c r="W429" s="16">
        <v>1.3134813984484934E-4</v>
      </c>
      <c r="X429" s="16">
        <v>3.9842657722593683E-5</v>
      </c>
    </row>
    <row r="430" spans="1:24" x14ac:dyDescent="0.2">
      <c r="A430" t="s">
        <v>16</v>
      </c>
      <c r="B430" t="s">
        <v>22</v>
      </c>
      <c r="C430" t="s">
        <v>39</v>
      </c>
      <c r="D430" t="s">
        <v>159</v>
      </c>
      <c r="E430" t="s">
        <v>447</v>
      </c>
      <c r="F430" t="s">
        <v>1486</v>
      </c>
      <c r="H430" t="s">
        <v>1670</v>
      </c>
      <c r="I430" t="s">
        <v>1670</v>
      </c>
      <c r="J430" t="s">
        <v>1673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2</v>
      </c>
      <c r="Q430">
        <f>N430-K430</f>
        <v>2</v>
      </c>
      <c r="R430">
        <f>O430-L430</f>
        <v>0</v>
      </c>
      <c r="S430">
        <f>P430-M430</f>
        <v>2</v>
      </c>
      <c r="T430">
        <v>6</v>
      </c>
      <c r="U430" s="14">
        <v>40521.539999999994</v>
      </c>
      <c r="V430" s="14">
        <v>952</v>
      </c>
      <c r="W430" s="16">
        <v>1.3096917754314673E-4</v>
      </c>
      <c r="X430" s="16">
        <v>1.7241004614504177E-3</v>
      </c>
    </row>
    <row r="431" spans="1:24" x14ac:dyDescent="0.2">
      <c r="A431" t="s">
        <v>16</v>
      </c>
      <c r="B431" t="s">
        <v>22</v>
      </c>
      <c r="C431" t="s">
        <v>39</v>
      </c>
      <c r="D431" t="s">
        <v>156</v>
      </c>
      <c r="E431" t="s">
        <v>435</v>
      </c>
      <c r="F431" t="s">
        <v>1430</v>
      </c>
      <c r="H431" t="s">
        <v>1670</v>
      </c>
      <c r="I431" t="s">
        <v>1670</v>
      </c>
      <c r="J431" t="s">
        <v>1674</v>
      </c>
      <c r="K431">
        <v>0</v>
      </c>
      <c r="L431">
        <v>0</v>
      </c>
      <c r="M431">
        <v>0</v>
      </c>
      <c r="N431">
        <v>3</v>
      </c>
      <c r="O431">
        <v>0</v>
      </c>
      <c r="P431">
        <v>3</v>
      </c>
      <c r="Q431">
        <f>N431-K431</f>
        <v>3</v>
      </c>
      <c r="R431">
        <f>O431-L431</f>
        <v>0</v>
      </c>
      <c r="S431">
        <f>P431-M431</f>
        <v>3</v>
      </c>
      <c r="T431">
        <v>21</v>
      </c>
      <c r="U431" s="14">
        <v>40336.07</v>
      </c>
      <c r="V431" s="14">
        <v>113</v>
      </c>
      <c r="W431" s="16">
        <v>1.3036972220756653E-4</v>
      </c>
      <c r="X431" s="16">
        <v>2.0464637830241303E-4</v>
      </c>
    </row>
    <row r="432" spans="1:24" x14ac:dyDescent="0.2">
      <c r="A432" t="s">
        <v>16</v>
      </c>
      <c r="B432" t="s">
        <v>22</v>
      </c>
      <c r="C432" t="s">
        <v>39</v>
      </c>
      <c r="D432" t="s">
        <v>160</v>
      </c>
      <c r="E432" t="s">
        <v>449</v>
      </c>
      <c r="F432" t="s">
        <v>1024</v>
      </c>
      <c r="H432" t="s">
        <v>1669</v>
      </c>
      <c r="I432" t="s">
        <v>1670</v>
      </c>
      <c r="J432" t="s">
        <v>1674</v>
      </c>
      <c r="K432">
        <v>2</v>
      </c>
      <c r="L432">
        <v>2</v>
      </c>
      <c r="M432">
        <v>4</v>
      </c>
      <c r="N432">
        <v>2</v>
      </c>
      <c r="O432">
        <v>2</v>
      </c>
      <c r="P432">
        <v>4</v>
      </c>
      <c r="Q432">
        <f>N432-K432</f>
        <v>0</v>
      </c>
      <c r="R432">
        <f>O432-L432</f>
        <v>0</v>
      </c>
      <c r="S432">
        <f>P432-M432</f>
        <v>0</v>
      </c>
      <c r="T432">
        <v>11</v>
      </c>
      <c r="U432" s="14">
        <v>24827.14</v>
      </c>
      <c r="V432" s="14">
        <v>85</v>
      </c>
      <c r="W432" s="16">
        <v>8.024349781742156E-5</v>
      </c>
      <c r="X432" s="16">
        <v>1.5393754120093014E-4</v>
      </c>
    </row>
    <row r="433" spans="1:24" x14ac:dyDescent="0.2">
      <c r="A433" t="s">
        <v>14</v>
      </c>
      <c r="B433" s="35" t="s">
        <v>19</v>
      </c>
      <c r="C433" t="s">
        <v>27</v>
      </c>
      <c r="D433" t="s">
        <v>67</v>
      </c>
      <c r="E433" t="s">
        <v>385</v>
      </c>
      <c r="F433" t="s">
        <v>904</v>
      </c>
      <c r="H433" t="s">
        <v>1670</v>
      </c>
      <c r="I433" t="s">
        <v>1670</v>
      </c>
      <c r="J433" t="s">
        <v>1674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1</v>
      </c>
      <c r="Q433">
        <f>N433-K433</f>
        <v>0</v>
      </c>
      <c r="R433">
        <f>O433-L433</f>
        <v>0</v>
      </c>
      <c r="S433">
        <f>P433-M433</f>
        <v>0</v>
      </c>
      <c r="T433">
        <v>5</v>
      </c>
      <c r="U433" s="14">
        <v>40285.47</v>
      </c>
      <c r="V433" s="14">
        <v>846</v>
      </c>
      <c r="W433" s="16">
        <v>1.3020617856179977E-4</v>
      </c>
      <c r="X433" s="16">
        <v>1.5321312924233754E-3</v>
      </c>
    </row>
    <row r="434" spans="1:24" x14ac:dyDescent="0.2">
      <c r="A434" t="s">
        <v>14</v>
      </c>
      <c r="B434" s="35" t="s">
        <v>19</v>
      </c>
      <c r="C434" t="s">
        <v>42</v>
      </c>
      <c r="D434" t="s">
        <v>111</v>
      </c>
      <c r="E434" t="s">
        <v>353</v>
      </c>
      <c r="F434" t="s">
        <v>858</v>
      </c>
      <c r="H434" t="s">
        <v>1670</v>
      </c>
      <c r="I434" t="s">
        <v>1670</v>
      </c>
      <c r="J434" t="s">
        <v>1673</v>
      </c>
      <c r="K434">
        <v>5</v>
      </c>
      <c r="L434">
        <v>0</v>
      </c>
      <c r="M434">
        <v>5</v>
      </c>
      <c r="N434">
        <v>5</v>
      </c>
      <c r="O434">
        <v>0</v>
      </c>
      <c r="P434">
        <v>5</v>
      </c>
      <c r="Q434">
        <f>N434-K434</f>
        <v>0</v>
      </c>
      <c r="R434">
        <f>O434-L434</f>
        <v>0</v>
      </c>
      <c r="S434">
        <f>P434-M434</f>
        <v>0</v>
      </c>
      <c r="T434">
        <v>4</v>
      </c>
      <c r="U434" s="14">
        <v>39733.550000000003</v>
      </c>
      <c r="V434" s="14">
        <v>96</v>
      </c>
      <c r="W434" s="16">
        <v>1.2842232462955501E-4</v>
      </c>
      <c r="X434" s="16">
        <v>1.7385887006222698E-4</v>
      </c>
    </row>
    <row r="435" spans="1:24" x14ac:dyDescent="0.2">
      <c r="A435" t="s">
        <v>14</v>
      </c>
      <c r="B435" s="35" t="s">
        <v>19</v>
      </c>
      <c r="C435" t="s">
        <v>27</v>
      </c>
      <c r="D435" t="s">
        <v>135</v>
      </c>
      <c r="E435" t="s">
        <v>665</v>
      </c>
      <c r="F435" t="s">
        <v>665</v>
      </c>
      <c r="H435" t="s">
        <v>1670</v>
      </c>
      <c r="I435" t="s">
        <v>1670</v>
      </c>
      <c r="J435" t="s">
        <v>1674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f>N435-K435</f>
        <v>0</v>
      </c>
      <c r="R435">
        <f>O435-L435</f>
        <v>0</v>
      </c>
      <c r="S435">
        <f>P435-M435</f>
        <v>0</v>
      </c>
      <c r="T435">
        <v>14</v>
      </c>
      <c r="U435" s="14">
        <v>39217.26</v>
      </c>
      <c r="V435" s="14">
        <v>151</v>
      </c>
      <c r="W435" s="16">
        <v>1.2675362998779778E-4</v>
      </c>
      <c r="X435" s="16">
        <v>2.7346551436871122E-4</v>
      </c>
    </row>
    <row r="436" spans="1:24" x14ac:dyDescent="0.2">
      <c r="A436" t="s">
        <v>16</v>
      </c>
      <c r="B436" t="s">
        <v>22</v>
      </c>
      <c r="C436" t="s">
        <v>39</v>
      </c>
      <c r="D436" t="s">
        <v>160</v>
      </c>
      <c r="E436" t="s">
        <v>451</v>
      </c>
      <c r="F436" t="s">
        <v>1027</v>
      </c>
      <c r="H436" t="s">
        <v>1670</v>
      </c>
      <c r="I436" t="s">
        <v>1670</v>
      </c>
      <c r="J436" t="s">
        <v>1674</v>
      </c>
      <c r="K436">
        <v>1</v>
      </c>
      <c r="L436">
        <v>0</v>
      </c>
      <c r="M436">
        <v>1</v>
      </c>
      <c r="N436">
        <v>2</v>
      </c>
      <c r="O436">
        <v>0</v>
      </c>
      <c r="P436">
        <v>2</v>
      </c>
      <c r="Q436">
        <f>N436-K436</f>
        <v>1</v>
      </c>
      <c r="R436">
        <f>O436-L436</f>
        <v>0</v>
      </c>
      <c r="S436">
        <f>P436-M436</f>
        <v>1</v>
      </c>
      <c r="T436">
        <v>11</v>
      </c>
      <c r="U436" s="14">
        <v>38292.879999999997</v>
      </c>
      <c r="V436" s="14">
        <v>197</v>
      </c>
      <c r="W436" s="16">
        <v>1.2376595261084382E-4</v>
      </c>
      <c r="X436" s="16">
        <v>3.5677288960686164E-4</v>
      </c>
    </row>
    <row r="437" spans="1:24" x14ac:dyDescent="0.2">
      <c r="A437" t="s">
        <v>16</v>
      </c>
      <c r="B437" t="s">
        <v>22</v>
      </c>
      <c r="C437" t="s">
        <v>39</v>
      </c>
      <c r="D437" t="s">
        <v>156</v>
      </c>
      <c r="E437" t="s">
        <v>435</v>
      </c>
      <c r="F437" t="s">
        <v>998</v>
      </c>
      <c r="H437" t="s">
        <v>1670</v>
      </c>
      <c r="I437" t="s">
        <v>1670</v>
      </c>
      <c r="J437" t="s">
        <v>1674</v>
      </c>
      <c r="K437">
        <v>2</v>
      </c>
      <c r="L437">
        <v>0</v>
      </c>
      <c r="M437">
        <v>2</v>
      </c>
      <c r="N437">
        <v>2</v>
      </c>
      <c r="O437">
        <v>0</v>
      </c>
      <c r="P437">
        <v>2</v>
      </c>
      <c r="Q437">
        <f>N437-K437</f>
        <v>0</v>
      </c>
      <c r="R437">
        <f>O437-L437</f>
        <v>0</v>
      </c>
      <c r="S437">
        <f>P437-M437</f>
        <v>0</v>
      </c>
      <c r="T437">
        <v>19</v>
      </c>
      <c r="U437" s="14">
        <v>37843.279999999999</v>
      </c>
      <c r="V437" s="14">
        <v>101</v>
      </c>
      <c r="W437" s="16">
        <v>1.2231280590853689E-4</v>
      </c>
      <c r="X437" s="16">
        <v>1.8291401954463463E-4</v>
      </c>
    </row>
    <row r="438" spans="1:24" x14ac:dyDescent="0.2">
      <c r="A438" t="s">
        <v>16</v>
      </c>
      <c r="B438" t="s">
        <v>22</v>
      </c>
      <c r="C438" t="s">
        <v>39</v>
      </c>
      <c r="D438" t="s">
        <v>222</v>
      </c>
      <c r="E438" t="s">
        <v>651</v>
      </c>
      <c r="F438" t="s">
        <v>1516</v>
      </c>
      <c r="H438" t="s">
        <v>1670</v>
      </c>
      <c r="I438" t="s">
        <v>1670</v>
      </c>
      <c r="J438" t="s">
        <v>1673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2</v>
      </c>
      <c r="Q438">
        <f>N438-K438</f>
        <v>2</v>
      </c>
      <c r="R438">
        <f>O438-L438</f>
        <v>0</v>
      </c>
      <c r="S438">
        <f>P438-M438</f>
        <v>2</v>
      </c>
      <c r="T438">
        <v>38</v>
      </c>
      <c r="U438" s="14">
        <v>37176.850000000006</v>
      </c>
      <c r="V438" s="14">
        <v>108</v>
      </c>
      <c r="W438" s="16">
        <v>1.201588455953287E-4</v>
      </c>
      <c r="X438" s="16">
        <v>1.9559122882000535E-4</v>
      </c>
    </row>
    <row r="439" spans="1:24" x14ac:dyDescent="0.2">
      <c r="A439" t="s">
        <v>12</v>
      </c>
      <c r="B439" s="35" t="s">
        <v>19</v>
      </c>
      <c r="C439" t="s">
        <v>27</v>
      </c>
      <c r="D439" t="s">
        <v>69</v>
      </c>
      <c r="E439" t="s">
        <v>255</v>
      </c>
      <c r="F439" t="s">
        <v>703</v>
      </c>
      <c r="H439" t="s">
        <v>1670</v>
      </c>
      <c r="I439" t="s">
        <v>1670</v>
      </c>
      <c r="J439" t="s">
        <v>1674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1</v>
      </c>
      <c r="Q439">
        <f>N439-K439</f>
        <v>0</v>
      </c>
      <c r="R439">
        <f>O439-L439</f>
        <v>0</v>
      </c>
      <c r="S439">
        <f>P439-M439</f>
        <v>0</v>
      </c>
      <c r="T439">
        <v>12</v>
      </c>
      <c r="U439" s="14">
        <v>36686.120000000003</v>
      </c>
      <c r="V439" s="14">
        <v>127</v>
      </c>
      <c r="W439" s="16">
        <v>1.185727631192987E-4</v>
      </c>
      <c r="X439" s="16">
        <v>2.3000079685315446E-4</v>
      </c>
    </row>
    <row r="440" spans="1:24" x14ac:dyDescent="0.2">
      <c r="A440" t="s">
        <v>16</v>
      </c>
      <c r="B440" t="s">
        <v>22</v>
      </c>
      <c r="C440" t="s">
        <v>46</v>
      </c>
      <c r="D440" t="s">
        <v>170</v>
      </c>
      <c r="E440" t="s">
        <v>468</v>
      </c>
      <c r="F440" t="s">
        <v>1048</v>
      </c>
      <c r="H440" t="s">
        <v>1670</v>
      </c>
      <c r="I440" t="s">
        <v>1671</v>
      </c>
      <c r="J440" t="s">
        <v>1674</v>
      </c>
      <c r="K440">
        <v>2</v>
      </c>
      <c r="L440">
        <v>0</v>
      </c>
      <c r="M440">
        <v>2</v>
      </c>
      <c r="N440">
        <v>0</v>
      </c>
      <c r="O440">
        <v>0</v>
      </c>
      <c r="P440">
        <v>0</v>
      </c>
      <c r="Q440">
        <f>N440-K440</f>
        <v>-2</v>
      </c>
      <c r="R440">
        <f>O440-L440</f>
        <v>0</v>
      </c>
      <c r="S440">
        <f>P440-M440</f>
        <v>-2</v>
      </c>
      <c r="T440">
        <v>8</v>
      </c>
      <c r="U440" s="14">
        <v>35445.050000000003</v>
      </c>
      <c r="V440" s="14">
        <v>39</v>
      </c>
      <c r="W440" s="16">
        <v>1.1456151583764373E-4</v>
      </c>
      <c r="X440" s="16">
        <v>7.0630165962779713E-5</v>
      </c>
    </row>
    <row r="441" spans="1:24" x14ac:dyDescent="0.2">
      <c r="A441" t="s">
        <v>14</v>
      </c>
      <c r="B441" s="35" t="s">
        <v>19</v>
      </c>
      <c r="C441" t="s">
        <v>42</v>
      </c>
      <c r="D441" t="s">
        <v>112</v>
      </c>
      <c r="E441" t="s">
        <v>666</v>
      </c>
      <c r="F441" t="s">
        <v>666</v>
      </c>
      <c r="H441" t="s">
        <v>1670</v>
      </c>
      <c r="I441" t="s">
        <v>1670</v>
      </c>
      <c r="J441" t="s">
        <v>1674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f>N441-K441</f>
        <v>0</v>
      </c>
      <c r="R441">
        <f>O441-L441</f>
        <v>0</v>
      </c>
      <c r="S441">
        <f>P441-M441</f>
        <v>0</v>
      </c>
      <c r="T441">
        <v>4</v>
      </c>
      <c r="U441" s="14">
        <v>34659.58</v>
      </c>
      <c r="V441" s="14">
        <v>62</v>
      </c>
      <c r="W441" s="16">
        <v>1.1202280778546172E-4</v>
      </c>
      <c r="X441" s="16">
        <v>1.1228385358185493E-4</v>
      </c>
    </row>
    <row r="442" spans="1:24" x14ac:dyDescent="0.2">
      <c r="A442" t="s">
        <v>16</v>
      </c>
      <c r="B442" t="s">
        <v>22</v>
      </c>
      <c r="C442" t="s">
        <v>41</v>
      </c>
      <c r="D442" t="s">
        <v>37</v>
      </c>
      <c r="E442" t="s">
        <v>474</v>
      </c>
      <c r="F442" t="s">
        <v>1055</v>
      </c>
      <c r="H442" t="s">
        <v>1669</v>
      </c>
      <c r="I442" t="s">
        <v>1670</v>
      </c>
      <c r="J442" t="s">
        <v>1673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f>N442-K442</f>
        <v>0</v>
      </c>
      <c r="R442">
        <f>O442-L442</f>
        <v>0</v>
      </c>
      <c r="S442">
        <f>P442-M442</f>
        <v>0</v>
      </c>
      <c r="T442">
        <v>0</v>
      </c>
      <c r="U442" s="14">
        <v>0</v>
      </c>
      <c r="V442" s="14">
        <v>0</v>
      </c>
      <c r="W442" s="16">
        <v>0</v>
      </c>
      <c r="X442" s="16">
        <v>0</v>
      </c>
    </row>
    <row r="443" spans="1:24" x14ac:dyDescent="0.2">
      <c r="A443" t="s">
        <v>17</v>
      </c>
      <c r="B443" t="s">
        <v>23</v>
      </c>
      <c r="C443" t="s">
        <v>60</v>
      </c>
      <c r="D443" t="s">
        <v>174</v>
      </c>
      <c r="E443" t="s">
        <v>479</v>
      </c>
      <c r="F443" t="s">
        <v>1064</v>
      </c>
      <c r="H443" t="s">
        <v>1669</v>
      </c>
      <c r="I443" t="s">
        <v>1670</v>
      </c>
      <c r="J443" t="s">
        <v>1673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f>N443-K443</f>
        <v>0</v>
      </c>
      <c r="R443">
        <f>O443-L443</f>
        <v>0</v>
      </c>
      <c r="S443">
        <f>P443-M443</f>
        <v>0</v>
      </c>
      <c r="T443">
        <v>0</v>
      </c>
      <c r="U443" s="14">
        <v>0</v>
      </c>
      <c r="V443" s="14">
        <v>0</v>
      </c>
      <c r="W443" s="16">
        <v>0</v>
      </c>
      <c r="X443" s="16">
        <v>0</v>
      </c>
    </row>
    <row r="444" spans="1:24" x14ac:dyDescent="0.2">
      <c r="A444" t="s">
        <v>17</v>
      </c>
      <c r="B444" t="s">
        <v>23</v>
      </c>
      <c r="C444" t="s">
        <v>60</v>
      </c>
      <c r="D444" t="s">
        <v>176</v>
      </c>
      <c r="E444" t="s">
        <v>176</v>
      </c>
      <c r="F444" t="s">
        <v>1070</v>
      </c>
      <c r="H444" t="s">
        <v>1669</v>
      </c>
      <c r="I444" t="s">
        <v>1670</v>
      </c>
      <c r="J444" t="s">
        <v>1673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f>N444-K444</f>
        <v>0</v>
      </c>
      <c r="R444">
        <f>O444-L444</f>
        <v>0</v>
      </c>
      <c r="S444">
        <f>P444-M444</f>
        <v>0</v>
      </c>
      <c r="T444">
        <v>0</v>
      </c>
      <c r="U444" s="14">
        <v>0</v>
      </c>
      <c r="V444" s="14">
        <v>0</v>
      </c>
      <c r="W444" s="16">
        <v>0</v>
      </c>
      <c r="X444" s="16">
        <v>0</v>
      </c>
    </row>
    <row r="445" spans="1:24" x14ac:dyDescent="0.2">
      <c r="A445" t="s">
        <v>17</v>
      </c>
      <c r="B445" t="s">
        <v>24</v>
      </c>
      <c r="C445" t="s">
        <v>49</v>
      </c>
      <c r="D445" t="s">
        <v>152</v>
      </c>
      <c r="E445" t="s">
        <v>484</v>
      </c>
      <c r="F445" t="s">
        <v>1081</v>
      </c>
      <c r="G445" t="s">
        <v>1719</v>
      </c>
      <c r="H445" t="s">
        <v>1669</v>
      </c>
      <c r="I445" t="s">
        <v>1671</v>
      </c>
      <c r="J445" t="s">
        <v>1673</v>
      </c>
      <c r="K445">
        <v>4</v>
      </c>
      <c r="L445">
        <v>0</v>
      </c>
      <c r="M445">
        <v>4</v>
      </c>
      <c r="N445">
        <v>4</v>
      </c>
      <c r="O445">
        <v>0</v>
      </c>
      <c r="P445">
        <v>4</v>
      </c>
      <c r="Q445">
        <f>N445-K445</f>
        <v>0</v>
      </c>
      <c r="R445">
        <f>O445-L445</f>
        <v>0</v>
      </c>
      <c r="S445">
        <f>P445-M445</f>
        <v>0</v>
      </c>
      <c r="T445">
        <v>68</v>
      </c>
      <c r="U445" s="14">
        <v>218179.28</v>
      </c>
      <c r="V445" s="14">
        <v>377</v>
      </c>
      <c r="W445" s="16">
        <v>7.0517460241037054E-4</v>
      </c>
      <c r="X445" s="16">
        <v>6.8275827097353723E-4</v>
      </c>
    </row>
    <row r="446" spans="1:24" s="32" customFormat="1" x14ac:dyDescent="0.2">
      <c r="A446" s="32" t="s">
        <v>17</v>
      </c>
      <c r="B446" s="32" t="s">
        <v>24</v>
      </c>
      <c r="C446" s="32" t="s">
        <v>49</v>
      </c>
      <c r="D446" s="32" t="s">
        <v>152</v>
      </c>
      <c r="E446" s="32" t="s">
        <v>487</v>
      </c>
      <c r="F446" s="32" t="s">
        <v>1087</v>
      </c>
      <c r="G446" s="32" t="s">
        <v>1719</v>
      </c>
      <c r="H446" s="32" t="s">
        <v>1669</v>
      </c>
      <c r="I446" t="s">
        <v>1671</v>
      </c>
      <c r="J446" s="32" t="s">
        <v>1673</v>
      </c>
      <c r="K446" s="32">
        <v>2</v>
      </c>
      <c r="L446" s="32">
        <v>0</v>
      </c>
      <c r="M446" s="32">
        <v>2</v>
      </c>
      <c r="N446" s="32">
        <v>2</v>
      </c>
      <c r="O446" s="32">
        <v>0</v>
      </c>
      <c r="P446" s="32">
        <v>2</v>
      </c>
      <c r="Q446" s="32">
        <f>N446-K446</f>
        <v>0</v>
      </c>
      <c r="R446" s="32">
        <f>O446-L446</f>
        <v>0</v>
      </c>
      <c r="S446" s="32">
        <f>P446-M446</f>
        <v>0</v>
      </c>
      <c r="T446" s="32">
        <v>35</v>
      </c>
      <c r="U446" s="33">
        <v>50434.729999999981</v>
      </c>
      <c r="V446" s="33">
        <v>124</v>
      </c>
      <c r="W446" s="34">
        <v>1.6300947860596284E-4</v>
      </c>
      <c r="X446" s="34">
        <v>2.2456770716370987E-4</v>
      </c>
    </row>
    <row r="447" spans="1:24" x14ac:dyDescent="0.2">
      <c r="A447" t="s">
        <v>17</v>
      </c>
      <c r="B447" t="s">
        <v>24</v>
      </c>
      <c r="C447" t="s">
        <v>49</v>
      </c>
      <c r="D447" t="s">
        <v>177</v>
      </c>
      <c r="E447" t="s">
        <v>491</v>
      </c>
      <c r="F447" t="s">
        <v>491</v>
      </c>
      <c r="H447" t="s">
        <v>1669</v>
      </c>
      <c r="I447" t="s">
        <v>1670</v>
      </c>
      <c r="J447" t="s">
        <v>1673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f>N447-K447</f>
        <v>0</v>
      </c>
      <c r="R447">
        <f>O447-L447</f>
        <v>0</v>
      </c>
      <c r="S447">
        <f>P447-M447</f>
        <v>0</v>
      </c>
      <c r="T447">
        <v>1</v>
      </c>
      <c r="U447" s="14">
        <v>2900</v>
      </c>
      <c r="V447" s="14">
        <v>1</v>
      </c>
      <c r="W447" s="16">
        <v>9.3730547969086453E-6</v>
      </c>
      <c r="X447" s="16">
        <v>1.8110298964815312E-6</v>
      </c>
    </row>
    <row r="448" spans="1:24" x14ac:dyDescent="0.2">
      <c r="A448" t="s">
        <v>17</v>
      </c>
      <c r="B448" t="s">
        <v>23</v>
      </c>
      <c r="C448" t="s">
        <v>45</v>
      </c>
      <c r="D448" t="s">
        <v>121</v>
      </c>
      <c r="E448" t="s">
        <v>495</v>
      </c>
      <c r="F448" t="s">
        <v>1099</v>
      </c>
      <c r="H448" t="s">
        <v>1669</v>
      </c>
      <c r="I448" t="s">
        <v>1671</v>
      </c>
      <c r="J448" t="s">
        <v>1674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f>N448-K448</f>
        <v>0</v>
      </c>
      <c r="R448">
        <f>O448-L448</f>
        <v>0</v>
      </c>
      <c r="S448">
        <f>P448-M448</f>
        <v>0</v>
      </c>
      <c r="T448">
        <v>0</v>
      </c>
      <c r="U448" s="14">
        <v>0</v>
      </c>
      <c r="V448" s="14">
        <v>0</v>
      </c>
      <c r="W448" s="16">
        <v>0</v>
      </c>
      <c r="X448" s="16">
        <v>0</v>
      </c>
    </row>
    <row r="449" spans="1:24" x14ac:dyDescent="0.2">
      <c r="A449" t="s">
        <v>16</v>
      </c>
      <c r="B449" t="s">
        <v>22</v>
      </c>
      <c r="C449" t="s">
        <v>39</v>
      </c>
      <c r="D449" t="s">
        <v>157</v>
      </c>
      <c r="E449" t="s">
        <v>680</v>
      </c>
      <c r="F449" t="s">
        <v>1608</v>
      </c>
      <c r="H449" t="s">
        <v>1670</v>
      </c>
      <c r="I449" t="s">
        <v>1670</v>
      </c>
      <c r="J449" t="s">
        <v>1674</v>
      </c>
      <c r="K449">
        <v>0</v>
      </c>
      <c r="L449">
        <v>0</v>
      </c>
      <c r="M449">
        <v>0</v>
      </c>
      <c r="N449">
        <v>5</v>
      </c>
      <c r="O449">
        <v>0</v>
      </c>
      <c r="P449">
        <v>5</v>
      </c>
      <c r="Q449">
        <f>N449-K449</f>
        <v>5</v>
      </c>
      <c r="R449">
        <f>O449-L449</f>
        <v>0</v>
      </c>
      <c r="S449">
        <f>P449-M449</f>
        <v>5</v>
      </c>
      <c r="T449">
        <v>4</v>
      </c>
      <c r="U449" s="14">
        <v>34624</v>
      </c>
      <c r="V449" s="14">
        <v>12</v>
      </c>
      <c r="W449" s="16">
        <v>1.1190781009936722E-4</v>
      </c>
      <c r="X449" s="16">
        <v>2.1732358757778372E-5</v>
      </c>
    </row>
    <row r="450" spans="1:24" x14ac:dyDescent="0.2">
      <c r="A450" t="s">
        <v>17</v>
      </c>
      <c r="B450" t="s">
        <v>23</v>
      </c>
      <c r="C450" t="s">
        <v>61</v>
      </c>
      <c r="D450" t="s">
        <v>182</v>
      </c>
      <c r="E450" t="s">
        <v>500</v>
      </c>
      <c r="F450" t="s">
        <v>1109</v>
      </c>
      <c r="H450" t="s">
        <v>1669</v>
      </c>
      <c r="I450" t="s">
        <v>1671</v>
      </c>
      <c r="J450" t="s">
        <v>1674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1</v>
      </c>
      <c r="Q450">
        <f>N450-K450</f>
        <v>0</v>
      </c>
      <c r="R450">
        <f>O450-L450</f>
        <v>0</v>
      </c>
      <c r="S450">
        <f>P450-M450</f>
        <v>0</v>
      </c>
      <c r="T450">
        <v>2</v>
      </c>
      <c r="U450" s="14">
        <v>3136</v>
      </c>
      <c r="V450" s="14">
        <v>2</v>
      </c>
      <c r="W450" s="16">
        <v>1.013582753210535E-5</v>
      </c>
      <c r="X450" s="16">
        <v>3.6220597929630623E-6</v>
      </c>
    </row>
    <row r="451" spans="1:24" x14ac:dyDescent="0.2">
      <c r="A451" t="s">
        <v>17</v>
      </c>
      <c r="B451" t="s">
        <v>23</v>
      </c>
      <c r="C451" t="s">
        <v>61</v>
      </c>
      <c r="D451" t="s">
        <v>184</v>
      </c>
      <c r="E451" t="s">
        <v>184</v>
      </c>
      <c r="F451" t="s">
        <v>1115</v>
      </c>
      <c r="H451" t="s">
        <v>1669</v>
      </c>
      <c r="I451" t="s">
        <v>1671</v>
      </c>
      <c r="J451" t="s">
        <v>1674</v>
      </c>
      <c r="K451">
        <v>1</v>
      </c>
      <c r="L451">
        <v>1</v>
      </c>
      <c r="M451">
        <v>2</v>
      </c>
      <c r="N451">
        <v>1</v>
      </c>
      <c r="O451">
        <v>1</v>
      </c>
      <c r="P451">
        <v>2</v>
      </c>
      <c r="Q451">
        <f>N451-K451</f>
        <v>0</v>
      </c>
      <c r="R451">
        <f>O451-L451</f>
        <v>0</v>
      </c>
      <c r="S451">
        <f>P451-M451</f>
        <v>0</v>
      </c>
      <c r="T451">
        <v>85</v>
      </c>
      <c r="U451" s="14">
        <v>158954.79999999999</v>
      </c>
      <c r="V451" s="14">
        <v>176</v>
      </c>
      <c r="W451" s="16">
        <v>5.1375587952815665E-4</v>
      </c>
      <c r="X451" s="16">
        <v>3.1874126178074947E-4</v>
      </c>
    </row>
    <row r="452" spans="1:24" x14ac:dyDescent="0.2">
      <c r="A452" t="s">
        <v>16</v>
      </c>
      <c r="B452" t="s">
        <v>22</v>
      </c>
      <c r="C452" t="s">
        <v>39</v>
      </c>
      <c r="D452" t="s">
        <v>156</v>
      </c>
      <c r="E452" t="s">
        <v>435</v>
      </c>
      <c r="F452" t="s">
        <v>1406</v>
      </c>
      <c r="H452" t="s">
        <v>1670</v>
      </c>
      <c r="I452" t="s">
        <v>1670</v>
      </c>
      <c r="J452" t="s">
        <v>1674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1</v>
      </c>
      <c r="Q452">
        <f>N452-K452</f>
        <v>1</v>
      </c>
      <c r="R452">
        <f>O452-L452</f>
        <v>0</v>
      </c>
      <c r="S452">
        <f>P452-M452</f>
        <v>1</v>
      </c>
      <c r="T452">
        <v>15</v>
      </c>
      <c r="U452" s="14">
        <v>34617.360000000001</v>
      </c>
      <c r="V452" s="14">
        <v>171</v>
      </c>
      <c r="W452" s="16">
        <v>1.1188634903597016E-4</v>
      </c>
      <c r="X452" s="16">
        <v>3.0968611229834184E-4</v>
      </c>
    </row>
    <row r="453" spans="1:24" x14ac:dyDescent="0.2">
      <c r="A453" t="s">
        <v>17</v>
      </c>
      <c r="B453" t="s">
        <v>24</v>
      </c>
      <c r="C453" t="s">
        <v>58</v>
      </c>
      <c r="D453" t="s">
        <v>149</v>
      </c>
      <c r="E453" t="s">
        <v>508</v>
      </c>
      <c r="F453" t="s">
        <v>508</v>
      </c>
      <c r="H453" t="s">
        <v>1669</v>
      </c>
      <c r="I453" t="s">
        <v>1670</v>
      </c>
      <c r="J453" t="s">
        <v>1673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f>N453-K453</f>
        <v>0</v>
      </c>
      <c r="R453">
        <f>O453-L453</f>
        <v>0</v>
      </c>
      <c r="S453">
        <f>P453-M453</f>
        <v>0</v>
      </c>
      <c r="T453">
        <v>0</v>
      </c>
      <c r="U453" s="14">
        <v>0</v>
      </c>
      <c r="V453" s="14">
        <v>0</v>
      </c>
      <c r="W453" s="16">
        <v>0</v>
      </c>
      <c r="X453" s="16">
        <v>0</v>
      </c>
    </row>
    <row r="454" spans="1:24" x14ac:dyDescent="0.2">
      <c r="A454" t="s">
        <v>13</v>
      </c>
      <c r="B454" t="s">
        <v>21</v>
      </c>
      <c r="C454" t="s">
        <v>35</v>
      </c>
      <c r="D454" t="s">
        <v>190</v>
      </c>
      <c r="E454" t="s">
        <v>190</v>
      </c>
      <c r="F454" t="s">
        <v>190</v>
      </c>
      <c r="H454" t="s">
        <v>1669</v>
      </c>
      <c r="I454" t="s">
        <v>1670</v>
      </c>
      <c r="J454" t="s">
        <v>1673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f>N454-K454</f>
        <v>0</v>
      </c>
      <c r="R454">
        <f>O454-L454</f>
        <v>0</v>
      </c>
      <c r="S454">
        <f>P454-M454</f>
        <v>0</v>
      </c>
      <c r="T454">
        <v>0</v>
      </c>
      <c r="U454" s="14">
        <v>0</v>
      </c>
      <c r="V454" s="14">
        <v>0</v>
      </c>
      <c r="W454" s="16">
        <v>0</v>
      </c>
      <c r="X454" s="16">
        <v>0</v>
      </c>
    </row>
    <row r="455" spans="1:24" x14ac:dyDescent="0.2">
      <c r="A455" t="s">
        <v>12</v>
      </c>
      <c r="B455" t="s">
        <v>18</v>
      </c>
      <c r="C455" t="s">
        <v>32</v>
      </c>
      <c r="D455" t="s">
        <v>83</v>
      </c>
      <c r="E455" t="s">
        <v>288</v>
      </c>
      <c r="F455" t="s">
        <v>1136</v>
      </c>
      <c r="H455" t="s">
        <v>1669</v>
      </c>
      <c r="I455" t="s">
        <v>1670</v>
      </c>
      <c r="J455" t="s">
        <v>1674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f>N455-K455</f>
        <v>0</v>
      </c>
      <c r="R455">
        <f>O455-L455</f>
        <v>0</v>
      </c>
      <c r="S455">
        <f>P455-M455</f>
        <v>0</v>
      </c>
      <c r="T455">
        <v>0</v>
      </c>
      <c r="U455" s="14">
        <v>0</v>
      </c>
      <c r="V455" s="14">
        <v>0</v>
      </c>
      <c r="W455" s="16">
        <v>0</v>
      </c>
      <c r="X455" s="16">
        <v>0</v>
      </c>
    </row>
    <row r="456" spans="1:24" x14ac:dyDescent="0.2">
      <c r="A456" t="s">
        <v>17</v>
      </c>
      <c r="B456" t="s">
        <v>23</v>
      </c>
      <c r="C456" t="s">
        <v>61</v>
      </c>
      <c r="D456" t="s">
        <v>186</v>
      </c>
      <c r="E456" t="s">
        <v>519</v>
      </c>
      <c r="F456" t="s">
        <v>1147</v>
      </c>
      <c r="H456" t="s">
        <v>1669</v>
      </c>
      <c r="I456" t="s">
        <v>1670</v>
      </c>
      <c r="J456" t="s">
        <v>1673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f>N456-K456</f>
        <v>0</v>
      </c>
      <c r="R456">
        <f>O456-L456</f>
        <v>0</v>
      </c>
      <c r="S456">
        <f>P456-M456</f>
        <v>0</v>
      </c>
      <c r="T456">
        <v>1</v>
      </c>
      <c r="U456" s="14">
        <v>7852.31</v>
      </c>
      <c r="V456" s="14">
        <v>52</v>
      </c>
      <c r="W456" s="16">
        <v>2.5379355831832321E-5</v>
      </c>
      <c r="X456" s="16">
        <v>9.4173554617039612E-5</v>
      </c>
    </row>
    <row r="457" spans="1:24" x14ac:dyDescent="0.2">
      <c r="A457" t="s">
        <v>15</v>
      </c>
      <c r="B457" t="s">
        <v>24</v>
      </c>
      <c r="C457" t="s">
        <v>58</v>
      </c>
      <c r="D457" t="s">
        <v>148</v>
      </c>
      <c r="E457" t="s">
        <v>513</v>
      </c>
      <c r="F457" t="s">
        <v>1148</v>
      </c>
      <c r="H457" t="s">
        <v>1669</v>
      </c>
      <c r="I457" t="s">
        <v>1670</v>
      </c>
      <c r="J457" t="s">
        <v>1673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f>N457-K457</f>
        <v>0</v>
      </c>
      <c r="R457">
        <f>O457-L457</f>
        <v>0</v>
      </c>
      <c r="S457">
        <f>P457-M457</f>
        <v>0</v>
      </c>
      <c r="T457">
        <v>1</v>
      </c>
      <c r="U457" s="14">
        <v>610</v>
      </c>
      <c r="V457" s="14">
        <v>1</v>
      </c>
      <c r="W457" s="16">
        <v>1.9715735952118187E-6</v>
      </c>
      <c r="X457" s="16">
        <v>1.8110298964815312E-6</v>
      </c>
    </row>
    <row r="458" spans="1:24" x14ac:dyDescent="0.2">
      <c r="A458" t="s">
        <v>12</v>
      </c>
      <c r="B458" s="35" t="s">
        <v>19</v>
      </c>
      <c r="C458" t="s">
        <v>28</v>
      </c>
      <c r="D458" t="s">
        <v>71</v>
      </c>
      <c r="E458" t="s">
        <v>520</v>
      </c>
      <c r="F458" t="s">
        <v>520</v>
      </c>
      <c r="H458" t="s">
        <v>1669</v>
      </c>
      <c r="I458" t="s">
        <v>1671</v>
      </c>
      <c r="J458" t="s">
        <v>1673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f>N458-K458</f>
        <v>0</v>
      </c>
      <c r="R458">
        <f>O458-L458</f>
        <v>0</v>
      </c>
      <c r="S458">
        <f>P458-M458</f>
        <v>0</v>
      </c>
      <c r="T458">
        <v>10</v>
      </c>
      <c r="U458" s="14">
        <v>44816.78</v>
      </c>
      <c r="V458" s="14">
        <v>37</v>
      </c>
      <c r="W458" s="16">
        <v>1.448517706072412E-4</v>
      </c>
      <c r="X458" s="16">
        <v>6.7008106169816651E-5</v>
      </c>
    </row>
    <row r="459" spans="1:24" x14ac:dyDescent="0.2">
      <c r="A459" t="s">
        <v>13</v>
      </c>
      <c r="B459" t="s">
        <v>22</v>
      </c>
      <c r="C459" t="s">
        <v>36</v>
      </c>
      <c r="D459" t="s">
        <v>92</v>
      </c>
      <c r="E459" t="s">
        <v>521</v>
      </c>
      <c r="F459" t="s">
        <v>1149</v>
      </c>
      <c r="H459" t="s">
        <v>1669</v>
      </c>
      <c r="I459" t="s">
        <v>1670</v>
      </c>
      <c r="J459" t="s">
        <v>1673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f>N459-K459</f>
        <v>0</v>
      </c>
      <c r="R459">
        <f>O459-L459</f>
        <v>0</v>
      </c>
      <c r="S459">
        <f>P459-M459</f>
        <v>0</v>
      </c>
      <c r="T459">
        <v>0</v>
      </c>
      <c r="U459" s="14">
        <v>0</v>
      </c>
      <c r="V459" s="14">
        <v>0</v>
      </c>
      <c r="W459" s="16">
        <v>0</v>
      </c>
      <c r="X459" s="16">
        <v>0</v>
      </c>
    </row>
    <row r="460" spans="1:24" x14ac:dyDescent="0.2">
      <c r="A460" t="s">
        <v>13</v>
      </c>
      <c r="B460" t="s">
        <v>22</v>
      </c>
      <c r="C460" t="s">
        <v>31</v>
      </c>
      <c r="D460" t="s">
        <v>94</v>
      </c>
      <c r="E460" t="s">
        <v>323</v>
      </c>
      <c r="F460" t="s">
        <v>1173</v>
      </c>
      <c r="H460" t="s">
        <v>1669</v>
      </c>
      <c r="I460" t="s">
        <v>1670</v>
      </c>
      <c r="J460" t="s">
        <v>1674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f>N460-K460</f>
        <v>0</v>
      </c>
      <c r="R460">
        <f>O460-L460</f>
        <v>0</v>
      </c>
      <c r="S460">
        <f>P460-M460</f>
        <v>0</v>
      </c>
      <c r="T460">
        <v>5</v>
      </c>
      <c r="U460" s="14">
        <v>1500.29</v>
      </c>
      <c r="V460" s="14">
        <v>11</v>
      </c>
      <c r="W460" s="16">
        <v>4.8490690969841629E-6</v>
      </c>
      <c r="X460" s="16">
        <v>1.9921328861296842E-5</v>
      </c>
    </row>
    <row r="461" spans="1:24" x14ac:dyDescent="0.2">
      <c r="A461" t="s">
        <v>16</v>
      </c>
      <c r="B461" t="s">
        <v>22</v>
      </c>
      <c r="C461" t="s">
        <v>39</v>
      </c>
      <c r="D461" t="s">
        <v>155</v>
      </c>
      <c r="E461" t="s">
        <v>443</v>
      </c>
      <c r="F461" t="s">
        <v>1174</v>
      </c>
      <c r="H461" t="s">
        <v>1669</v>
      </c>
      <c r="I461" t="s">
        <v>1670</v>
      </c>
      <c r="J461" t="s">
        <v>1674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f>N461-K461</f>
        <v>0</v>
      </c>
      <c r="R461">
        <f>O461-L461</f>
        <v>0</v>
      </c>
      <c r="S461">
        <f>P461-M461</f>
        <v>0</v>
      </c>
      <c r="T461">
        <v>0</v>
      </c>
      <c r="U461" s="14">
        <v>0</v>
      </c>
      <c r="V461" s="14">
        <v>0</v>
      </c>
      <c r="W461" s="16">
        <v>0</v>
      </c>
      <c r="X461" s="16">
        <v>0</v>
      </c>
    </row>
    <row r="462" spans="1:24" x14ac:dyDescent="0.2">
      <c r="A462" t="s">
        <v>13</v>
      </c>
      <c r="B462" t="s">
        <v>20</v>
      </c>
      <c r="C462" t="s">
        <v>31</v>
      </c>
      <c r="D462" t="s">
        <v>82</v>
      </c>
      <c r="E462" t="s">
        <v>538</v>
      </c>
      <c r="F462" t="s">
        <v>1177</v>
      </c>
      <c r="H462" t="s">
        <v>1669</v>
      </c>
      <c r="I462" t="s">
        <v>1671</v>
      </c>
      <c r="J462" t="s">
        <v>1674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1</v>
      </c>
      <c r="Q462">
        <f>N462-K462</f>
        <v>0</v>
      </c>
      <c r="R462">
        <f>O462-L462</f>
        <v>0</v>
      </c>
      <c r="S462">
        <f>P462-M462</f>
        <v>0</v>
      </c>
      <c r="T462">
        <v>74</v>
      </c>
      <c r="U462" s="14">
        <v>170554.52999999997</v>
      </c>
      <c r="V462" s="14">
        <v>283</v>
      </c>
      <c r="W462" s="16">
        <v>5.5124722605206871E-4</v>
      </c>
      <c r="X462" s="16">
        <v>5.1252146070427328E-4</v>
      </c>
    </row>
    <row r="463" spans="1:24" x14ac:dyDescent="0.2">
      <c r="A463" t="s">
        <v>16</v>
      </c>
      <c r="B463" t="s">
        <v>22</v>
      </c>
      <c r="C463" t="s">
        <v>39</v>
      </c>
      <c r="D463" t="s">
        <v>155</v>
      </c>
      <c r="E463" t="s">
        <v>444</v>
      </c>
      <c r="F463" t="s">
        <v>1182</v>
      </c>
      <c r="H463" t="s">
        <v>1669</v>
      </c>
      <c r="I463" t="s">
        <v>1670</v>
      </c>
      <c r="J463" t="s">
        <v>1674</v>
      </c>
      <c r="K463">
        <v>0</v>
      </c>
      <c r="L463">
        <v>2</v>
      </c>
      <c r="M463">
        <v>2</v>
      </c>
      <c r="N463">
        <v>0</v>
      </c>
      <c r="O463">
        <v>2</v>
      </c>
      <c r="P463">
        <v>2</v>
      </c>
      <c r="Q463">
        <f>N463-K463</f>
        <v>0</v>
      </c>
      <c r="R463">
        <f>O463-L463</f>
        <v>0</v>
      </c>
      <c r="S463">
        <f>P463-M463</f>
        <v>0</v>
      </c>
      <c r="T463">
        <v>0</v>
      </c>
      <c r="U463" s="14">
        <v>0</v>
      </c>
      <c r="V463" s="14">
        <v>0</v>
      </c>
      <c r="W463" s="16">
        <v>0</v>
      </c>
      <c r="X463" s="16">
        <v>0</v>
      </c>
    </row>
    <row r="464" spans="1:24" x14ac:dyDescent="0.2">
      <c r="A464" t="s">
        <v>13</v>
      </c>
      <c r="B464" t="s">
        <v>20</v>
      </c>
      <c r="C464" t="s">
        <v>38</v>
      </c>
      <c r="D464" t="s">
        <v>101</v>
      </c>
      <c r="E464" t="s">
        <v>542</v>
      </c>
      <c r="F464" t="s">
        <v>1185</v>
      </c>
      <c r="H464" t="s">
        <v>1669</v>
      </c>
      <c r="I464" t="s">
        <v>1670</v>
      </c>
      <c r="J464" t="s">
        <v>1674</v>
      </c>
      <c r="K464">
        <v>0</v>
      </c>
      <c r="L464">
        <v>1</v>
      </c>
      <c r="M464">
        <v>1</v>
      </c>
      <c r="N464">
        <v>0</v>
      </c>
      <c r="O464">
        <v>1</v>
      </c>
      <c r="P464">
        <v>1</v>
      </c>
      <c r="Q464">
        <f>N464-K464</f>
        <v>0</v>
      </c>
      <c r="R464">
        <f>O464-L464</f>
        <v>0</v>
      </c>
      <c r="S464">
        <f>P464-M464</f>
        <v>0</v>
      </c>
      <c r="T464">
        <v>19</v>
      </c>
      <c r="U464" s="14">
        <v>11410.14</v>
      </c>
      <c r="V464" s="14">
        <v>35</v>
      </c>
      <c r="W464" s="16">
        <v>3.6878574986344556E-5</v>
      </c>
      <c r="X464" s="16">
        <v>6.338604637685359E-5</v>
      </c>
    </row>
    <row r="465" spans="1:24" x14ac:dyDescent="0.2">
      <c r="A465" t="s">
        <v>16</v>
      </c>
      <c r="B465" t="s">
        <v>22</v>
      </c>
      <c r="C465" t="s">
        <v>46</v>
      </c>
      <c r="D465" t="s">
        <v>195</v>
      </c>
      <c r="E465" t="s">
        <v>544</v>
      </c>
      <c r="F465" t="s">
        <v>1193</v>
      </c>
      <c r="H465" t="s">
        <v>1669</v>
      </c>
      <c r="I465" t="s">
        <v>1671</v>
      </c>
      <c r="J465" t="s">
        <v>1674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f>N465-K465</f>
        <v>0</v>
      </c>
      <c r="R465">
        <f>O465-L465</f>
        <v>0</v>
      </c>
      <c r="S465">
        <f>P465-M465</f>
        <v>0</v>
      </c>
      <c r="T465">
        <v>1</v>
      </c>
      <c r="U465" s="14">
        <v>688</v>
      </c>
      <c r="V465" s="14">
        <v>4</v>
      </c>
      <c r="W465" s="16">
        <v>2.223676448370051E-6</v>
      </c>
      <c r="X465" s="16">
        <v>7.2441195859261247E-6</v>
      </c>
    </row>
    <row r="466" spans="1:24" x14ac:dyDescent="0.2">
      <c r="A466" t="s">
        <v>17</v>
      </c>
      <c r="B466" t="s">
        <v>23</v>
      </c>
      <c r="C466" t="s">
        <v>61</v>
      </c>
      <c r="D466" t="s">
        <v>187</v>
      </c>
      <c r="E466" t="s">
        <v>516</v>
      </c>
      <c r="F466" t="s">
        <v>1215</v>
      </c>
      <c r="H466" t="s">
        <v>1669</v>
      </c>
      <c r="I466" t="s">
        <v>1671</v>
      </c>
      <c r="J466" t="s">
        <v>1674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f>N466-K466</f>
        <v>0</v>
      </c>
      <c r="R466">
        <f>O466-L466</f>
        <v>0</v>
      </c>
      <c r="S466">
        <f>P466-M466</f>
        <v>0</v>
      </c>
      <c r="T466">
        <v>0</v>
      </c>
      <c r="U466" s="14">
        <v>0</v>
      </c>
      <c r="V466" s="14">
        <v>0</v>
      </c>
      <c r="W466" s="16">
        <v>0</v>
      </c>
      <c r="X466" s="16">
        <v>0</v>
      </c>
    </row>
    <row r="467" spans="1:24" x14ac:dyDescent="0.2">
      <c r="A467" t="s">
        <v>13</v>
      </c>
      <c r="B467" t="s">
        <v>20</v>
      </c>
      <c r="C467" t="s">
        <v>38</v>
      </c>
      <c r="D467" t="s">
        <v>104</v>
      </c>
      <c r="E467" t="s">
        <v>340</v>
      </c>
      <c r="F467" t="s">
        <v>340</v>
      </c>
      <c r="H467" t="s">
        <v>1669</v>
      </c>
      <c r="I467" t="s">
        <v>1670</v>
      </c>
      <c r="J467" t="s">
        <v>1674</v>
      </c>
      <c r="K467">
        <v>0</v>
      </c>
      <c r="L467">
        <v>1</v>
      </c>
      <c r="M467">
        <v>1</v>
      </c>
      <c r="N467">
        <v>0</v>
      </c>
      <c r="O467">
        <v>1</v>
      </c>
      <c r="P467">
        <v>1</v>
      </c>
      <c r="Q467">
        <f>N467-K467</f>
        <v>0</v>
      </c>
      <c r="R467">
        <f>O467-L467</f>
        <v>0</v>
      </c>
      <c r="S467">
        <f>P467-M467</f>
        <v>0</v>
      </c>
      <c r="T467">
        <v>6</v>
      </c>
      <c r="U467" s="14">
        <v>1310</v>
      </c>
      <c r="V467" s="14">
        <v>16</v>
      </c>
      <c r="W467" s="16">
        <v>4.2340350979139055E-6</v>
      </c>
      <c r="X467" s="16">
        <v>2.8976478343704499E-5</v>
      </c>
    </row>
    <row r="468" spans="1:24" x14ac:dyDescent="0.2">
      <c r="A468" t="s">
        <v>13</v>
      </c>
      <c r="B468" t="s">
        <v>21</v>
      </c>
      <c r="C468" t="s">
        <v>35</v>
      </c>
      <c r="D468" t="s">
        <v>95</v>
      </c>
      <c r="E468" t="s">
        <v>324</v>
      </c>
      <c r="F468" t="s">
        <v>1232</v>
      </c>
      <c r="H468" t="s">
        <v>1669</v>
      </c>
      <c r="I468" t="s">
        <v>1671</v>
      </c>
      <c r="J468" t="s">
        <v>1674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f>N468-K468</f>
        <v>0</v>
      </c>
      <c r="R468">
        <f>O468-L468</f>
        <v>0</v>
      </c>
      <c r="S468">
        <f>P468-M468</f>
        <v>0</v>
      </c>
      <c r="T468">
        <v>6</v>
      </c>
      <c r="U468" s="14">
        <v>5567.77</v>
      </c>
      <c r="V468" s="14">
        <v>11</v>
      </c>
      <c r="W468" s="16">
        <v>1.7995521829856571E-5</v>
      </c>
      <c r="X468" s="16">
        <v>1.9921328861296842E-5</v>
      </c>
    </row>
    <row r="469" spans="1:24" x14ac:dyDescent="0.2">
      <c r="A469" t="s">
        <v>13</v>
      </c>
      <c r="B469" t="s">
        <v>20</v>
      </c>
      <c r="C469" t="s">
        <v>33</v>
      </c>
      <c r="D469" t="s">
        <v>88</v>
      </c>
      <c r="E469" t="s">
        <v>564</v>
      </c>
      <c r="F469" t="s">
        <v>564</v>
      </c>
      <c r="H469" t="s">
        <v>1669</v>
      </c>
      <c r="I469" t="s">
        <v>1671</v>
      </c>
      <c r="J469" t="s">
        <v>1674</v>
      </c>
      <c r="K469">
        <v>0</v>
      </c>
      <c r="L469">
        <v>1</v>
      </c>
      <c r="M469">
        <v>1</v>
      </c>
      <c r="N469">
        <v>0</v>
      </c>
      <c r="O469">
        <v>1</v>
      </c>
      <c r="P469">
        <v>1</v>
      </c>
      <c r="Q469">
        <f>N469-K469</f>
        <v>0</v>
      </c>
      <c r="R469">
        <f>O469-L469</f>
        <v>0</v>
      </c>
      <c r="S469">
        <f>P469-M469</f>
        <v>0</v>
      </c>
      <c r="T469">
        <v>4</v>
      </c>
      <c r="U469" s="14">
        <v>1516</v>
      </c>
      <c r="V469" s="14">
        <v>4</v>
      </c>
      <c r="W469" s="16">
        <v>4.89984519728052E-6</v>
      </c>
      <c r="X469" s="16">
        <v>7.2441195859261247E-6</v>
      </c>
    </row>
    <row r="470" spans="1:24" x14ac:dyDescent="0.2">
      <c r="A470" t="s">
        <v>16</v>
      </c>
      <c r="B470" t="s">
        <v>22</v>
      </c>
      <c r="C470" t="s">
        <v>39</v>
      </c>
      <c r="D470" t="s">
        <v>160</v>
      </c>
      <c r="E470" t="s">
        <v>450</v>
      </c>
      <c r="F470" t="s">
        <v>1237</v>
      </c>
      <c r="H470" t="s">
        <v>1669</v>
      </c>
      <c r="I470" t="s">
        <v>1670</v>
      </c>
      <c r="J470" t="s">
        <v>1674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f>N470-K470</f>
        <v>0</v>
      </c>
      <c r="R470">
        <f>O470-L470</f>
        <v>0</v>
      </c>
      <c r="S470">
        <f>P470-M470</f>
        <v>0</v>
      </c>
      <c r="T470">
        <v>4</v>
      </c>
      <c r="U470" s="14">
        <v>5462.19</v>
      </c>
      <c r="V470" s="14">
        <v>35</v>
      </c>
      <c r="W470" s="16">
        <v>1.7654277993491874E-5</v>
      </c>
      <c r="X470" s="16">
        <v>6.338604637685359E-5</v>
      </c>
    </row>
    <row r="471" spans="1:24" x14ac:dyDescent="0.2">
      <c r="A471" t="s">
        <v>17</v>
      </c>
      <c r="B471" t="s">
        <v>23</v>
      </c>
      <c r="C471" t="s">
        <v>45</v>
      </c>
      <c r="D471" t="s">
        <v>121</v>
      </c>
      <c r="E471" t="s">
        <v>495</v>
      </c>
      <c r="F471" t="s">
        <v>1249</v>
      </c>
      <c r="H471" t="s">
        <v>1669</v>
      </c>
      <c r="I471" t="s">
        <v>1670</v>
      </c>
      <c r="J471" t="s">
        <v>1673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f>N471-K471</f>
        <v>0</v>
      </c>
      <c r="R471">
        <f>O471-L471</f>
        <v>0</v>
      </c>
      <c r="S471">
        <f>P471-M471</f>
        <v>0</v>
      </c>
      <c r="T471">
        <v>0</v>
      </c>
      <c r="U471" s="14">
        <v>0</v>
      </c>
      <c r="V471" s="14">
        <v>0</v>
      </c>
      <c r="W471" s="16">
        <v>0</v>
      </c>
      <c r="X471" s="16">
        <v>0</v>
      </c>
    </row>
    <row r="472" spans="1:24" x14ac:dyDescent="0.2">
      <c r="A472" t="s">
        <v>13</v>
      </c>
      <c r="B472" t="s">
        <v>20</v>
      </c>
      <c r="C472" t="s">
        <v>38</v>
      </c>
      <c r="D472" t="s">
        <v>104</v>
      </c>
      <c r="E472" t="s">
        <v>340</v>
      </c>
      <c r="F472" t="s">
        <v>1261</v>
      </c>
      <c r="H472" t="s">
        <v>1669</v>
      </c>
      <c r="I472" t="s">
        <v>1671</v>
      </c>
      <c r="J472" t="s">
        <v>1674</v>
      </c>
      <c r="K472">
        <v>0</v>
      </c>
      <c r="L472">
        <v>2</v>
      </c>
      <c r="M472">
        <v>2</v>
      </c>
      <c r="N472">
        <v>0</v>
      </c>
      <c r="O472">
        <v>2</v>
      </c>
      <c r="P472">
        <v>2</v>
      </c>
      <c r="Q472">
        <f>N472-K472</f>
        <v>0</v>
      </c>
      <c r="R472">
        <f>O472-L472</f>
        <v>0</v>
      </c>
      <c r="S472">
        <f>P472-M472</f>
        <v>0</v>
      </c>
      <c r="T472">
        <v>33</v>
      </c>
      <c r="U472" s="14">
        <v>26157.489999999994</v>
      </c>
      <c r="V472" s="14">
        <v>91</v>
      </c>
      <c r="W472" s="16">
        <v>8.4543305903306856E-5</v>
      </c>
      <c r="X472" s="16">
        <v>1.6480372057981932E-4</v>
      </c>
    </row>
    <row r="473" spans="1:24" x14ac:dyDescent="0.2">
      <c r="A473" t="s">
        <v>13</v>
      </c>
      <c r="B473" t="s">
        <v>21</v>
      </c>
      <c r="C473" t="s">
        <v>35</v>
      </c>
      <c r="D473" t="s">
        <v>198</v>
      </c>
      <c r="E473" t="s">
        <v>555</v>
      </c>
      <c r="F473" t="s">
        <v>1264</v>
      </c>
      <c r="H473" t="s">
        <v>1669</v>
      </c>
      <c r="I473" t="s">
        <v>1670</v>
      </c>
      <c r="J473" t="s">
        <v>1674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f>N473-K473</f>
        <v>0</v>
      </c>
      <c r="R473">
        <f>O473-L473</f>
        <v>0</v>
      </c>
      <c r="S473">
        <f>P473-M473</f>
        <v>0</v>
      </c>
      <c r="T473">
        <v>1</v>
      </c>
      <c r="U473" s="14">
        <v>117</v>
      </c>
      <c r="V473" s="14">
        <v>1</v>
      </c>
      <c r="W473" s="16">
        <v>3.7815427973734879E-7</v>
      </c>
      <c r="X473" s="16">
        <v>1.8110298964815312E-6</v>
      </c>
    </row>
    <row r="474" spans="1:24" x14ac:dyDescent="0.2">
      <c r="A474" t="s">
        <v>13</v>
      </c>
      <c r="B474" t="s">
        <v>20</v>
      </c>
      <c r="C474" t="s">
        <v>38</v>
      </c>
      <c r="D474" t="s">
        <v>104</v>
      </c>
      <c r="E474" t="s">
        <v>340</v>
      </c>
      <c r="F474" t="s">
        <v>1266</v>
      </c>
      <c r="H474" t="s">
        <v>1669</v>
      </c>
      <c r="I474" t="s">
        <v>1670</v>
      </c>
      <c r="J474" t="s">
        <v>1674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f>N474-K474</f>
        <v>0</v>
      </c>
      <c r="R474">
        <f>O474-L474</f>
        <v>0</v>
      </c>
      <c r="S474">
        <f>P474-M474</f>
        <v>0</v>
      </c>
      <c r="T474">
        <v>1</v>
      </c>
      <c r="U474" s="14">
        <v>678</v>
      </c>
      <c r="V474" s="14">
        <v>1</v>
      </c>
      <c r="W474" s="16">
        <v>2.1913555697600215E-6</v>
      </c>
      <c r="X474" s="16">
        <v>1.8110298964815312E-6</v>
      </c>
    </row>
    <row r="475" spans="1:24" x14ac:dyDescent="0.2">
      <c r="A475" t="s">
        <v>13</v>
      </c>
      <c r="B475" t="s">
        <v>20</v>
      </c>
      <c r="C475" t="s">
        <v>31</v>
      </c>
      <c r="D475" t="s">
        <v>93</v>
      </c>
      <c r="E475" t="s">
        <v>576</v>
      </c>
      <c r="F475" t="s">
        <v>576</v>
      </c>
      <c r="H475" t="s">
        <v>1669</v>
      </c>
      <c r="I475" t="s">
        <v>1670</v>
      </c>
      <c r="J475" t="s">
        <v>1674</v>
      </c>
      <c r="K475">
        <v>0</v>
      </c>
      <c r="L475">
        <v>1</v>
      </c>
      <c r="M475">
        <v>1</v>
      </c>
      <c r="N475">
        <v>0</v>
      </c>
      <c r="O475">
        <v>1</v>
      </c>
      <c r="P475">
        <v>1</v>
      </c>
      <c r="Q475">
        <f>N475-K475</f>
        <v>0</v>
      </c>
      <c r="R475">
        <f>O475-L475</f>
        <v>0</v>
      </c>
      <c r="S475">
        <f>P475-M475</f>
        <v>0</v>
      </c>
      <c r="T475">
        <v>1</v>
      </c>
      <c r="U475" s="14">
        <v>896</v>
      </c>
      <c r="V475" s="14">
        <v>3</v>
      </c>
      <c r="W475" s="16">
        <v>2.8959507234586713E-6</v>
      </c>
      <c r="X475" s="16">
        <v>5.4330896894445931E-6</v>
      </c>
    </row>
    <row r="476" spans="1:24" x14ac:dyDescent="0.2">
      <c r="A476" t="s">
        <v>13</v>
      </c>
      <c r="B476" t="s">
        <v>20</v>
      </c>
      <c r="C476" t="s">
        <v>38</v>
      </c>
      <c r="D476" t="s">
        <v>101</v>
      </c>
      <c r="E476" t="s">
        <v>542</v>
      </c>
      <c r="F476" t="s">
        <v>1276</v>
      </c>
      <c r="H476" t="s">
        <v>1669</v>
      </c>
      <c r="I476" t="s">
        <v>1670</v>
      </c>
      <c r="J476" t="s">
        <v>1674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f>N476-K476</f>
        <v>0</v>
      </c>
      <c r="R476">
        <f>O476-L476</f>
        <v>0</v>
      </c>
      <c r="S476">
        <f>P476-M476</f>
        <v>0</v>
      </c>
      <c r="T476">
        <v>3</v>
      </c>
      <c r="U476" s="14">
        <v>2481</v>
      </c>
      <c r="V476" s="14">
        <v>5</v>
      </c>
      <c r="W476" s="16">
        <v>8.0188099831483973E-6</v>
      </c>
      <c r="X476" s="16">
        <v>9.0551494824076554E-6</v>
      </c>
    </row>
    <row r="477" spans="1:24" x14ac:dyDescent="0.2">
      <c r="A477" t="s">
        <v>13</v>
      </c>
      <c r="B477" t="s">
        <v>20</v>
      </c>
      <c r="C477" t="s">
        <v>38</v>
      </c>
      <c r="D477" t="s">
        <v>104</v>
      </c>
      <c r="E477" t="s">
        <v>339</v>
      </c>
      <c r="F477" t="s">
        <v>1282</v>
      </c>
      <c r="H477" t="s">
        <v>1669</v>
      </c>
      <c r="I477" t="s">
        <v>1670</v>
      </c>
      <c r="J477" t="s">
        <v>1674</v>
      </c>
      <c r="K477">
        <v>0</v>
      </c>
      <c r="L477">
        <v>1</v>
      </c>
      <c r="M477">
        <v>1</v>
      </c>
      <c r="N477">
        <v>0</v>
      </c>
      <c r="O477">
        <v>1</v>
      </c>
      <c r="P477">
        <v>1</v>
      </c>
      <c r="Q477">
        <f>N477-K477</f>
        <v>0</v>
      </c>
      <c r="R477">
        <f>O477-L477</f>
        <v>0</v>
      </c>
      <c r="S477">
        <f>P477-M477</f>
        <v>0</v>
      </c>
      <c r="T477">
        <v>2</v>
      </c>
      <c r="U477" s="14">
        <v>1051</v>
      </c>
      <c r="V477" s="14">
        <v>3</v>
      </c>
      <c r="W477" s="16">
        <v>3.3969243419141333E-6</v>
      </c>
      <c r="X477" s="16">
        <v>5.4330896894445931E-6</v>
      </c>
    </row>
    <row r="478" spans="1:24" x14ac:dyDescent="0.2">
      <c r="A478" t="s">
        <v>14</v>
      </c>
      <c r="B478" t="s">
        <v>19</v>
      </c>
      <c r="C478" t="s">
        <v>48</v>
      </c>
      <c r="D478" t="s">
        <v>131</v>
      </c>
      <c r="E478" t="s">
        <v>526</v>
      </c>
      <c r="F478" t="s">
        <v>1288</v>
      </c>
      <c r="H478" t="s">
        <v>1669</v>
      </c>
      <c r="I478" t="s">
        <v>1670</v>
      </c>
      <c r="J478" t="s">
        <v>1674</v>
      </c>
      <c r="K478">
        <v>0</v>
      </c>
      <c r="L478">
        <v>1</v>
      </c>
      <c r="M478">
        <v>1</v>
      </c>
      <c r="N478">
        <v>0</v>
      </c>
      <c r="O478">
        <v>1</v>
      </c>
      <c r="P478">
        <v>1</v>
      </c>
      <c r="Q478">
        <f>N478-K478</f>
        <v>0</v>
      </c>
      <c r="R478">
        <f>O478-L478</f>
        <v>0</v>
      </c>
      <c r="S478">
        <f>P478-M478</f>
        <v>0</v>
      </c>
      <c r="T478">
        <v>1</v>
      </c>
      <c r="U478" s="14">
        <v>2056.34</v>
      </c>
      <c r="V478" s="14">
        <v>38</v>
      </c>
      <c r="W478" s="16">
        <v>6.6462715520948714E-6</v>
      </c>
      <c r="X478" s="16">
        <v>6.8819136066298182E-5</v>
      </c>
    </row>
    <row r="479" spans="1:24" x14ac:dyDescent="0.2">
      <c r="A479" t="s">
        <v>13</v>
      </c>
      <c r="B479" t="s">
        <v>21</v>
      </c>
      <c r="C479" t="s">
        <v>35</v>
      </c>
      <c r="D479" t="s">
        <v>95</v>
      </c>
      <c r="E479" t="s">
        <v>324</v>
      </c>
      <c r="F479" t="s">
        <v>1291</v>
      </c>
      <c r="H479" t="s">
        <v>1669</v>
      </c>
      <c r="I479" t="s">
        <v>1671</v>
      </c>
      <c r="J479" t="s">
        <v>1674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f>N479-K479</f>
        <v>0</v>
      </c>
      <c r="R479">
        <f>O479-L479</f>
        <v>0</v>
      </c>
      <c r="S479">
        <f>P479-M479</f>
        <v>0</v>
      </c>
      <c r="T479">
        <v>66</v>
      </c>
      <c r="U479" s="14">
        <v>149143.96</v>
      </c>
      <c r="V479" s="14">
        <v>121</v>
      </c>
      <c r="W479" s="16">
        <v>4.8204638265791417E-4</v>
      </c>
      <c r="X479" s="16">
        <v>2.1913461747426527E-4</v>
      </c>
    </row>
    <row r="480" spans="1:24" x14ac:dyDescent="0.2">
      <c r="A480" t="s">
        <v>13</v>
      </c>
      <c r="B480" t="s">
        <v>22</v>
      </c>
      <c r="C480" t="s">
        <v>36</v>
      </c>
      <c r="D480" t="s">
        <v>89</v>
      </c>
      <c r="E480" t="s">
        <v>308</v>
      </c>
      <c r="F480" t="s">
        <v>1293</v>
      </c>
      <c r="H480" t="s">
        <v>1669</v>
      </c>
      <c r="I480" t="s">
        <v>1670</v>
      </c>
      <c r="J480" t="s">
        <v>1673</v>
      </c>
      <c r="K480">
        <v>0</v>
      </c>
      <c r="L480">
        <v>2</v>
      </c>
      <c r="M480">
        <v>2</v>
      </c>
      <c r="N480">
        <v>0</v>
      </c>
      <c r="O480">
        <v>2</v>
      </c>
      <c r="P480">
        <v>2</v>
      </c>
      <c r="Q480">
        <f>N480-K480</f>
        <v>0</v>
      </c>
      <c r="R480">
        <f>O480-L480</f>
        <v>0</v>
      </c>
      <c r="S480">
        <f>P480-M480</f>
        <v>0</v>
      </c>
      <c r="T480">
        <v>27</v>
      </c>
      <c r="U480" s="14">
        <v>38866.839999999997</v>
      </c>
      <c r="V480" s="14">
        <v>70</v>
      </c>
      <c r="W480" s="16">
        <v>1.2562104175954509E-4</v>
      </c>
      <c r="X480" s="16">
        <v>1.2677209275370718E-4</v>
      </c>
    </row>
    <row r="481" spans="1:24" x14ac:dyDescent="0.2">
      <c r="A481" t="s">
        <v>13</v>
      </c>
      <c r="B481" t="s">
        <v>22</v>
      </c>
      <c r="C481" t="s">
        <v>36</v>
      </c>
      <c r="D481" t="s">
        <v>205</v>
      </c>
      <c r="E481" t="s">
        <v>581</v>
      </c>
      <c r="F481" t="s">
        <v>1296</v>
      </c>
      <c r="H481" t="s">
        <v>1669</v>
      </c>
      <c r="I481" t="s">
        <v>1670</v>
      </c>
      <c r="J481" t="s">
        <v>1674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f>N481-K481</f>
        <v>0</v>
      </c>
      <c r="R481">
        <f>O481-L481</f>
        <v>0</v>
      </c>
      <c r="S481">
        <f>P481-M481</f>
        <v>0</v>
      </c>
      <c r="T481">
        <v>0</v>
      </c>
      <c r="U481" s="14">
        <v>0</v>
      </c>
      <c r="V481" s="14">
        <v>0</v>
      </c>
      <c r="W481" s="16">
        <v>0</v>
      </c>
      <c r="X481" s="16">
        <v>0</v>
      </c>
    </row>
    <row r="482" spans="1:24" x14ac:dyDescent="0.2">
      <c r="A482" t="s">
        <v>17</v>
      </c>
      <c r="B482" t="s">
        <v>23</v>
      </c>
      <c r="C482" t="s">
        <v>61</v>
      </c>
      <c r="D482" t="s">
        <v>186</v>
      </c>
      <c r="E482" t="s">
        <v>505</v>
      </c>
      <c r="F482" t="s">
        <v>1297</v>
      </c>
      <c r="H482" t="s">
        <v>1669</v>
      </c>
      <c r="I482" t="s">
        <v>1671</v>
      </c>
      <c r="J482" t="s">
        <v>1674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f>N482-K482</f>
        <v>0</v>
      </c>
      <c r="R482">
        <f>O482-L482</f>
        <v>0</v>
      </c>
      <c r="S482">
        <f>P482-M482</f>
        <v>0</v>
      </c>
      <c r="T482">
        <v>32</v>
      </c>
      <c r="U482" s="14">
        <v>87267</v>
      </c>
      <c r="V482" s="14">
        <v>51</v>
      </c>
      <c r="W482" s="16">
        <v>2.8205461136614717E-4</v>
      </c>
      <c r="X482" s="16">
        <v>9.2362524720558082E-5</v>
      </c>
    </row>
    <row r="483" spans="1:24" x14ac:dyDescent="0.2">
      <c r="A483" t="s">
        <v>15</v>
      </c>
      <c r="B483" t="s">
        <v>24</v>
      </c>
      <c r="C483" t="s">
        <v>58</v>
      </c>
      <c r="D483" t="s">
        <v>150</v>
      </c>
      <c r="E483" t="s">
        <v>135</v>
      </c>
      <c r="F483" t="s">
        <v>1301</v>
      </c>
      <c r="H483" t="s">
        <v>1669</v>
      </c>
      <c r="I483" t="s">
        <v>1670</v>
      </c>
      <c r="J483" t="s">
        <v>1674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f>N483-K483</f>
        <v>0</v>
      </c>
      <c r="R483">
        <f>O483-L483</f>
        <v>0</v>
      </c>
      <c r="S483">
        <f>P483-M483</f>
        <v>0</v>
      </c>
      <c r="T483">
        <v>0</v>
      </c>
      <c r="U483" s="14">
        <v>0</v>
      </c>
      <c r="V483" s="14">
        <v>0</v>
      </c>
      <c r="W483" s="16">
        <v>0</v>
      </c>
      <c r="X483" s="16">
        <v>0</v>
      </c>
    </row>
    <row r="484" spans="1:24" x14ac:dyDescent="0.2">
      <c r="A484" t="s">
        <v>17</v>
      </c>
      <c r="B484" t="s">
        <v>23</v>
      </c>
      <c r="C484" t="s">
        <v>61</v>
      </c>
      <c r="D484" t="s">
        <v>196</v>
      </c>
      <c r="E484" t="s">
        <v>570</v>
      </c>
      <c r="F484" t="s">
        <v>1302</v>
      </c>
      <c r="H484" t="s">
        <v>1669</v>
      </c>
      <c r="I484" t="s">
        <v>1671</v>
      </c>
      <c r="J484" t="s">
        <v>1674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f>N484-K484</f>
        <v>0</v>
      </c>
      <c r="R484">
        <f>O484-L484</f>
        <v>0</v>
      </c>
      <c r="S484">
        <f>P484-M484</f>
        <v>0</v>
      </c>
      <c r="T484">
        <v>0</v>
      </c>
      <c r="U484" s="14">
        <v>0</v>
      </c>
      <c r="V484" s="14">
        <v>0</v>
      </c>
      <c r="W484" s="16">
        <v>0</v>
      </c>
      <c r="X484" s="16">
        <v>0</v>
      </c>
    </row>
    <row r="485" spans="1:24" x14ac:dyDescent="0.2">
      <c r="A485" t="s">
        <v>16</v>
      </c>
      <c r="B485" t="s">
        <v>22</v>
      </c>
      <c r="C485" t="s">
        <v>39</v>
      </c>
      <c r="D485" t="s">
        <v>160</v>
      </c>
      <c r="E485" t="s">
        <v>582</v>
      </c>
      <c r="F485" t="s">
        <v>1303</v>
      </c>
      <c r="H485" t="s">
        <v>1669</v>
      </c>
      <c r="I485" t="s">
        <v>1670</v>
      </c>
      <c r="J485" t="s">
        <v>1674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1</v>
      </c>
      <c r="Q485">
        <f>N485-K485</f>
        <v>0</v>
      </c>
      <c r="R485">
        <f>O485-L485</f>
        <v>0</v>
      </c>
      <c r="S485">
        <f>P485-M485</f>
        <v>0</v>
      </c>
      <c r="T485">
        <v>1</v>
      </c>
      <c r="U485" s="14">
        <v>2150</v>
      </c>
      <c r="V485" s="14">
        <v>1</v>
      </c>
      <c r="W485" s="16">
        <v>6.9489889011564099E-6</v>
      </c>
      <c r="X485" s="16">
        <v>1.8110298964815312E-6</v>
      </c>
    </row>
    <row r="486" spans="1:24" x14ac:dyDescent="0.2">
      <c r="A486" t="s">
        <v>12</v>
      </c>
      <c r="B486" s="35" t="s">
        <v>19</v>
      </c>
      <c r="C486" t="s">
        <v>28</v>
      </c>
      <c r="D486" t="s">
        <v>79</v>
      </c>
      <c r="E486" t="s">
        <v>583</v>
      </c>
      <c r="F486" t="s">
        <v>583</v>
      </c>
      <c r="H486" t="s">
        <v>1669</v>
      </c>
      <c r="I486" t="s">
        <v>1671</v>
      </c>
      <c r="J486" t="s">
        <v>1674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f>N486-K486</f>
        <v>0</v>
      </c>
      <c r="R486">
        <f>O486-L486</f>
        <v>0</v>
      </c>
      <c r="S486">
        <f>P486-M486</f>
        <v>0</v>
      </c>
      <c r="T486">
        <v>14</v>
      </c>
      <c r="U486" s="14">
        <v>17268.61</v>
      </c>
      <c r="V486" s="14">
        <v>42</v>
      </c>
      <c r="W486" s="16">
        <v>5.5813664757394695E-5</v>
      </c>
      <c r="X486" s="16">
        <v>7.6063255652224305E-5</v>
      </c>
    </row>
    <row r="487" spans="1:24" x14ac:dyDescent="0.2">
      <c r="A487" t="s">
        <v>13</v>
      </c>
      <c r="B487" t="s">
        <v>21</v>
      </c>
      <c r="C487" t="s">
        <v>35</v>
      </c>
      <c r="D487" t="s">
        <v>192</v>
      </c>
      <c r="E487" t="s">
        <v>584</v>
      </c>
      <c r="F487" t="s">
        <v>1306</v>
      </c>
      <c r="H487" t="s">
        <v>1669</v>
      </c>
      <c r="I487" t="s">
        <v>1670</v>
      </c>
      <c r="J487" t="s">
        <v>1673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f>N487-K487</f>
        <v>0</v>
      </c>
      <c r="R487">
        <f>O487-L487</f>
        <v>0</v>
      </c>
      <c r="S487">
        <f>P487-M487</f>
        <v>0</v>
      </c>
      <c r="T487">
        <v>13</v>
      </c>
      <c r="U487" s="14">
        <v>74505.78</v>
      </c>
      <c r="V487" s="14">
        <v>47</v>
      </c>
      <c r="W487" s="16">
        <v>2.4080922711255869E-4</v>
      </c>
      <c r="X487" s="16">
        <v>8.5118405134631959E-5</v>
      </c>
    </row>
    <row r="488" spans="1:24" x14ac:dyDescent="0.2">
      <c r="A488" t="s">
        <v>17</v>
      </c>
      <c r="B488" t="s">
        <v>23</v>
      </c>
      <c r="C488" t="s">
        <v>60</v>
      </c>
      <c r="D488" t="s">
        <v>175</v>
      </c>
      <c r="E488" t="s">
        <v>481</v>
      </c>
      <c r="F488" t="s">
        <v>1312</v>
      </c>
      <c r="H488" t="s">
        <v>1669</v>
      </c>
      <c r="I488" t="s">
        <v>1671</v>
      </c>
      <c r="J488" t="s">
        <v>1674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f>N488-K488</f>
        <v>0</v>
      </c>
      <c r="R488">
        <f>O488-L488</f>
        <v>0</v>
      </c>
      <c r="S488">
        <f>P488-M488</f>
        <v>0</v>
      </c>
      <c r="T488">
        <v>479</v>
      </c>
      <c r="U488" s="14">
        <v>1357955.8600000013</v>
      </c>
      <c r="V488" s="14">
        <v>864</v>
      </c>
      <c r="W488" s="16">
        <v>4.3890326508838678E-3</v>
      </c>
      <c r="X488" s="16">
        <v>1.5647298305600428E-3</v>
      </c>
    </row>
    <row r="489" spans="1:24" x14ac:dyDescent="0.2">
      <c r="A489" t="s">
        <v>13</v>
      </c>
      <c r="B489" t="s">
        <v>20</v>
      </c>
      <c r="C489" t="s">
        <v>31</v>
      </c>
      <c r="D489" t="s">
        <v>82</v>
      </c>
      <c r="E489" t="s">
        <v>317</v>
      </c>
      <c r="F489" t="s">
        <v>1317</v>
      </c>
      <c r="H489" t="s">
        <v>1669</v>
      </c>
      <c r="I489" t="s">
        <v>1670</v>
      </c>
      <c r="J489" t="s">
        <v>1674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f>N489-K489</f>
        <v>0</v>
      </c>
      <c r="R489">
        <f>O489-L489</f>
        <v>0</v>
      </c>
      <c r="S489">
        <f>P489-M489</f>
        <v>0</v>
      </c>
      <c r="T489">
        <v>0</v>
      </c>
      <c r="U489" s="14">
        <v>0</v>
      </c>
      <c r="V489" s="14">
        <v>0</v>
      </c>
      <c r="W489" s="16">
        <v>0</v>
      </c>
      <c r="X489" s="16">
        <v>0</v>
      </c>
    </row>
    <row r="490" spans="1:24" x14ac:dyDescent="0.2">
      <c r="A490" t="s">
        <v>13</v>
      </c>
      <c r="B490" t="s">
        <v>20</v>
      </c>
      <c r="C490" t="s">
        <v>31</v>
      </c>
      <c r="D490" t="s">
        <v>82</v>
      </c>
      <c r="E490" t="s">
        <v>538</v>
      </c>
      <c r="F490" t="s">
        <v>1319</v>
      </c>
      <c r="H490" t="s">
        <v>1669</v>
      </c>
      <c r="I490" t="s">
        <v>1671</v>
      </c>
      <c r="J490" t="s">
        <v>1674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f>N490-K490</f>
        <v>0</v>
      </c>
      <c r="R490">
        <f>O490-L490</f>
        <v>0</v>
      </c>
      <c r="S490">
        <f>P490-M490</f>
        <v>0</v>
      </c>
      <c r="T490">
        <v>20</v>
      </c>
      <c r="U490" s="14">
        <v>91696.469999999987</v>
      </c>
      <c r="V490" s="14">
        <v>103</v>
      </c>
      <c r="W490" s="16">
        <v>2.9637104758382401E-4</v>
      </c>
      <c r="X490" s="16">
        <v>1.8653607933759769E-4</v>
      </c>
    </row>
    <row r="491" spans="1:24" x14ac:dyDescent="0.2">
      <c r="A491" t="s">
        <v>13</v>
      </c>
      <c r="B491" t="s">
        <v>22</v>
      </c>
      <c r="C491" t="s">
        <v>36</v>
      </c>
      <c r="D491" t="s">
        <v>89</v>
      </c>
      <c r="E491" t="s">
        <v>307</v>
      </c>
      <c r="F491" t="s">
        <v>1320</v>
      </c>
      <c r="H491" t="s">
        <v>1669</v>
      </c>
      <c r="I491" t="s">
        <v>1670</v>
      </c>
      <c r="J491" t="s">
        <v>1674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f>N491-K491</f>
        <v>0</v>
      </c>
      <c r="R491">
        <f>O491-L491</f>
        <v>0</v>
      </c>
      <c r="S491">
        <f>P491-M491</f>
        <v>0</v>
      </c>
      <c r="T491">
        <v>20</v>
      </c>
      <c r="U491" s="14">
        <v>13460.160000000002</v>
      </c>
      <c r="V491" s="14">
        <v>58</v>
      </c>
      <c r="W491" s="16">
        <v>4.3504419743157897E-5</v>
      </c>
      <c r="X491" s="16">
        <v>1.0503973399592881E-4</v>
      </c>
    </row>
    <row r="492" spans="1:24" x14ac:dyDescent="0.2">
      <c r="A492" t="s">
        <v>13</v>
      </c>
      <c r="B492" t="s">
        <v>21</v>
      </c>
      <c r="C492" t="s">
        <v>35</v>
      </c>
      <c r="D492" t="s">
        <v>206</v>
      </c>
      <c r="E492" t="s">
        <v>587</v>
      </c>
      <c r="F492" t="s">
        <v>1321</v>
      </c>
      <c r="H492" t="s">
        <v>1669</v>
      </c>
      <c r="I492" t="s">
        <v>1670</v>
      </c>
      <c r="J492" t="s">
        <v>1673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f>N492-K492</f>
        <v>0</v>
      </c>
      <c r="R492">
        <f>O492-L492</f>
        <v>0</v>
      </c>
      <c r="S492">
        <f>P492-M492</f>
        <v>0</v>
      </c>
      <c r="T492">
        <v>1</v>
      </c>
      <c r="U492" s="14">
        <v>425</v>
      </c>
      <c r="V492" s="14">
        <v>1</v>
      </c>
      <c r="W492" s="16">
        <v>1.3736373409262672E-6</v>
      </c>
      <c r="X492" s="16">
        <v>1.8110298964815312E-6</v>
      </c>
    </row>
    <row r="493" spans="1:24" x14ac:dyDescent="0.2">
      <c r="A493" t="s">
        <v>12</v>
      </c>
      <c r="B493" t="s">
        <v>18</v>
      </c>
      <c r="C493" t="s">
        <v>32</v>
      </c>
      <c r="D493" t="s">
        <v>83</v>
      </c>
      <c r="E493" t="s">
        <v>61</v>
      </c>
      <c r="F493" t="s">
        <v>1323</v>
      </c>
      <c r="H493" t="s">
        <v>1669</v>
      </c>
      <c r="I493" t="s">
        <v>1670</v>
      </c>
      <c r="J493" t="s">
        <v>1674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f>N493-K493</f>
        <v>0</v>
      </c>
      <c r="R493">
        <f>O493-L493</f>
        <v>0</v>
      </c>
      <c r="S493">
        <f>P493-M493</f>
        <v>0</v>
      </c>
      <c r="T493">
        <v>15</v>
      </c>
      <c r="U493" s="14">
        <v>36526.89</v>
      </c>
      <c r="V493" s="14">
        <v>80</v>
      </c>
      <c r="W493" s="16">
        <v>1.1805811776919118E-4</v>
      </c>
      <c r="X493" s="16">
        <v>1.4488239171852249E-4</v>
      </c>
    </row>
    <row r="494" spans="1:24" x14ac:dyDescent="0.2">
      <c r="A494" t="s">
        <v>13</v>
      </c>
      <c r="B494" t="s">
        <v>20</v>
      </c>
      <c r="C494" t="s">
        <v>38</v>
      </c>
      <c r="D494" t="s">
        <v>101</v>
      </c>
      <c r="E494" t="s">
        <v>542</v>
      </c>
      <c r="F494" t="s">
        <v>1324</v>
      </c>
      <c r="H494" t="s">
        <v>1669</v>
      </c>
      <c r="I494" t="s">
        <v>1670</v>
      </c>
      <c r="J494" t="s">
        <v>1674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1</v>
      </c>
      <c r="Q494">
        <f>N494-K494</f>
        <v>0</v>
      </c>
      <c r="R494">
        <f>O494-L494</f>
        <v>0</v>
      </c>
      <c r="S494">
        <f>P494-M494</f>
        <v>0</v>
      </c>
      <c r="T494">
        <v>13</v>
      </c>
      <c r="U494" s="14">
        <v>6545.3</v>
      </c>
      <c r="V494" s="14">
        <v>36</v>
      </c>
      <c r="W494" s="16">
        <v>2.1154984676622813E-5</v>
      </c>
      <c r="X494" s="16">
        <v>6.519707627333512E-5</v>
      </c>
    </row>
    <row r="495" spans="1:24" x14ac:dyDescent="0.2">
      <c r="A495" t="s">
        <v>12</v>
      </c>
      <c r="B495" t="s">
        <v>18</v>
      </c>
      <c r="C495" t="s">
        <v>32</v>
      </c>
      <c r="D495" t="s">
        <v>83</v>
      </c>
      <c r="E495" t="s">
        <v>61</v>
      </c>
      <c r="F495" t="s">
        <v>1326</v>
      </c>
      <c r="H495" t="s">
        <v>1669</v>
      </c>
      <c r="I495" t="s">
        <v>1670</v>
      </c>
      <c r="J495" t="s">
        <v>1674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f>N495-K495</f>
        <v>0</v>
      </c>
      <c r="R495">
        <f>O495-L495</f>
        <v>0</v>
      </c>
      <c r="S495">
        <f>P495-M495</f>
        <v>0</v>
      </c>
      <c r="T495">
        <v>43</v>
      </c>
      <c r="U495" s="14">
        <v>29889.829999999998</v>
      </c>
      <c r="V495" s="14">
        <v>175</v>
      </c>
      <c r="W495" s="16">
        <v>9.6606556710442736E-5</v>
      </c>
      <c r="X495" s="16">
        <v>3.1693023188426796E-4</v>
      </c>
    </row>
    <row r="496" spans="1:24" x14ac:dyDescent="0.2">
      <c r="A496" t="s">
        <v>13</v>
      </c>
      <c r="B496" t="s">
        <v>20</v>
      </c>
      <c r="C496" t="s">
        <v>31</v>
      </c>
      <c r="D496" t="s">
        <v>82</v>
      </c>
      <c r="E496" t="s">
        <v>283</v>
      </c>
      <c r="F496" t="s">
        <v>1327</v>
      </c>
      <c r="H496" t="s">
        <v>1669</v>
      </c>
      <c r="I496" t="s">
        <v>1671</v>
      </c>
      <c r="J496" t="s">
        <v>1674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f>N496-K496</f>
        <v>0</v>
      </c>
      <c r="R496">
        <f>O496-L496</f>
        <v>0</v>
      </c>
      <c r="S496">
        <f>P496-M496</f>
        <v>0</v>
      </c>
      <c r="T496">
        <v>11</v>
      </c>
      <c r="U496" s="14">
        <v>13143.609999999999</v>
      </c>
      <c r="V496" s="14">
        <v>24</v>
      </c>
      <c r="W496" s="16">
        <v>4.2481302330757389E-5</v>
      </c>
      <c r="X496" s="16">
        <v>4.3464717515556745E-5</v>
      </c>
    </row>
    <row r="497" spans="1:24" x14ac:dyDescent="0.2">
      <c r="A497" t="s">
        <v>17</v>
      </c>
      <c r="B497" t="s">
        <v>24</v>
      </c>
      <c r="C497" t="s">
        <v>49</v>
      </c>
      <c r="D497" t="s">
        <v>180</v>
      </c>
      <c r="E497" t="s">
        <v>588</v>
      </c>
      <c r="F497" t="s">
        <v>1331</v>
      </c>
      <c r="H497" t="s">
        <v>1669</v>
      </c>
      <c r="I497" t="s">
        <v>1670</v>
      </c>
      <c r="J497" t="s">
        <v>1674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f>N497-K497</f>
        <v>0</v>
      </c>
      <c r="R497">
        <f>O497-L497</f>
        <v>0</v>
      </c>
      <c r="S497">
        <f>P497-M497</f>
        <v>0</v>
      </c>
      <c r="T497">
        <v>42</v>
      </c>
      <c r="U497" s="14">
        <v>291185.07</v>
      </c>
      <c r="V497" s="14">
        <v>448</v>
      </c>
      <c r="W497" s="16">
        <v>9.4113573005230339E-4</v>
      </c>
      <c r="X497" s="16">
        <v>8.1134139362372599E-4</v>
      </c>
    </row>
    <row r="498" spans="1:24" x14ac:dyDescent="0.2">
      <c r="A498" t="s">
        <v>17</v>
      </c>
      <c r="B498" t="s">
        <v>23</v>
      </c>
      <c r="C498" t="s">
        <v>60</v>
      </c>
      <c r="D498" t="s">
        <v>207</v>
      </c>
      <c r="E498" t="s">
        <v>589</v>
      </c>
      <c r="F498" t="s">
        <v>1332</v>
      </c>
      <c r="H498" t="s">
        <v>1669</v>
      </c>
      <c r="I498" t="s">
        <v>1670</v>
      </c>
      <c r="J498" t="s">
        <v>1674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f>N498-K498</f>
        <v>0</v>
      </c>
      <c r="R498">
        <f>O498-L498</f>
        <v>0</v>
      </c>
      <c r="S498">
        <f>P498-M498</f>
        <v>0</v>
      </c>
      <c r="T498">
        <v>1</v>
      </c>
      <c r="U498" s="14">
        <v>444</v>
      </c>
      <c r="V498" s="14">
        <v>1</v>
      </c>
      <c r="W498" s="16">
        <v>1.4350470102853238E-6</v>
      </c>
      <c r="X498" s="16">
        <v>1.8110298964815312E-6</v>
      </c>
    </row>
    <row r="499" spans="1:24" x14ac:dyDescent="0.2">
      <c r="A499" t="s">
        <v>13</v>
      </c>
      <c r="B499" t="s">
        <v>22</v>
      </c>
      <c r="C499" t="s">
        <v>36</v>
      </c>
      <c r="D499" t="s">
        <v>89</v>
      </c>
      <c r="E499" t="s">
        <v>308</v>
      </c>
      <c r="F499" t="s">
        <v>1333</v>
      </c>
      <c r="H499" t="s">
        <v>1669</v>
      </c>
      <c r="I499" t="s">
        <v>1670</v>
      </c>
      <c r="J499" t="s">
        <v>1674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f>N499-K499</f>
        <v>0</v>
      </c>
      <c r="R499">
        <f>O499-L499</f>
        <v>0</v>
      </c>
      <c r="S499">
        <f>P499-M499</f>
        <v>0</v>
      </c>
      <c r="T499">
        <v>3</v>
      </c>
      <c r="U499" s="14">
        <v>4537</v>
      </c>
      <c r="V499" s="14">
        <v>6</v>
      </c>
      <c r="W499" s="16">
        <v>1.4663982625370527E-5</v>
      </c>
      <c r="X499" s="16">
        <v>1.0866179378889186E-5</v>
      </c>
    </row>
    <row r="500" spans="1:24" x14ac:dyDescent="0.2">
      <c r="A500" t="s">
        <v>17</v>
      </c>
      <c r="B500" t="s">
        <v>23</v>
      </c>
      <c r="C500" t="s">
        <v>45</v>
      </c>
      <c r="D500" t="s">
        <v>200</v>
      </c>
      <c r="E500" t="s">
        <v>591</v>
      </c>
      <c r="F500" t="s">
        <v>1334</v>
      </c>
      <c r="H500" t="s">
        <v>1669</v>
      </c>
      <c r="I500" t="s">
        <v>1671</v>
      </c>
      <c r="J500" t="s">
        <v>1674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f>N500-K500</f>
        <v>0</v>
      </c>
      <c r="R500">
        <f>O500-L500</f>
        <v>0</v>
      </c>
      <c r="S500">
        <f>P500-M500</f>
        <v>0</v>
      </c>
      <c r="T500">
        <v>43</v>
      </c>
      <c r="U500" s="14">
        <v>103492.19000000002</v>
      </c>
      <c r="V500" s="14">
        <v>93</v>
      </c>
      <c r="W500" s="16">
        <v>3.3449585100761418E-4</v>
      </c>
      <c r="X500" s="16">
        <v>1.6842578037278239E-4</v>
      </c>
    </row>
    <row r="501" spans="1:24" x14ac:dyDescent="0.2">
      <c r="A501" t="s">
        <v>13</v>
      </c>
      <c r="B501" t="s">
        <v>20</v>
      </c>
      <c r="C501" t="s">
        <v>31</v>
      </c>
      <c r="D501" t="s">
        <v>82</v>
      </c>
      <c r="E501" t="s">
        <v>283</v>
      </c>
      <c r="F501" t="s">
        <v>1335</v>
      </c>
      <c r="H501" t="s">
        <v>1669</v>
      </c>
      <c r="I501" t="s">
        <v>1670</v>
      </c>
      <c r="J501" t="s">
        <v>1674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f>N501-K501</f>
        <v>0</v>
      </c>
      <c r="R501">
        <f>O501-L501</f>
        <v>0</v>
      </c>
      <c r="S501">
        <f>P501-M501</f>
        <v>0</v>
      </c>
      <c r="T501">
        <v>0</v>
      </c>
      <c r="U501" s="14">
        <v>0</v>
      </c>
      <c r="V501" s="14">
        <v>0</v>
      </c>
      <c r="W501" s="16">
        <v>0</v>
      </c>
      <c r="X501" s="16">
        <v>0</v>
      </c>
    </row>
    <row r="502" spans="1:24" x14ac:dyDescent="0.2">
      <c r="A502" t="s">
        <v>17</v>
      </c>
      <c r="B502" t="s">
        <v>23</v>
      </c>
      <c r="C502" t="s">
        <v>45</v>
      </c>
      <c r="D502" t="s">
        <v>208</v>
      </c>
      <c r="E502" t="s">
        <v>592</v>
      </c>
      <c r="F502" t="s">
        <v>1337</v>
      </c>
      <c r="H502" t="s">
        <v>1669</v>
      </c>
      <c r="I502" t="s">
        <v>1671</v>
      </c>
      <c r="J502" t="s">
        <v>1674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f>N502-K502</f>
        <v>0</v>
      </c>
      <c r="R502">
        <f>O502-L502</f>
        <v>0</v>
      </c>
      <c r="S502">
        <f>P502-M502</f>
        <v>0</v>
      </c>
      <c r="T502">
        <v>3194</v>
      </c>
      <c r="U502" s="14">
        <v>14178590.140000008</v>
      </c>
      <c r="V502" s="14">
        <v>4280</v>
      </c>
      <c r="W502" s="16">
        <v>4.5826449077630588E-2</v>
      </c>
      <c r="X502" s="16">
        <v>7.7512079569409531E-3</v>
      </c>
    </row>
    <row r="503" spans="1:24" x14ac:dyDescent="0.2">
      <c r="A503" t="s">
        <v>13</v>
      </c>
      <c r="B503" t="s">
        <v>22</v>
      </c>
      <c r="C503" t="s">
        <v>36</v>
      </c>
      <c r="D503" t="s">
        <v>90</v>
      </c>
      <c r="E503" t="s">
        <v>310</v>
      </c>
      <c r="F503" t="s">
        <v>1338</v>
      </c>
      <c r="H503" t="s">
        <v>1669</v>
      </c>
      <c r="I503" t="s">
        <v>1670</v>
      </c>
      <c r="J503" t="s">
        <v>1674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f>N503-K503</f>
        <v>0</v>
      </c>
      <c r="R503">
        <f>O503-L503</f>
        <v>0</v>
      </c>
      <c r="S503">
        <f>P503-M503</f>
        <v>0</v>
      </c>
      <c r="T503">
        <v>15</v>
      </c>
      <c r="U503" s="14">
        <v>16351.259999999998</v>
      </c>
      <c r="V503" s="14">
        <v>33</v>
      </c>
      <c r="W503" s="16">
        <v>5.2848708958103601E-5</v>
      </c>
      <c r="X503" s="16">
        <v>5.9763986583890528E-5</v>
      </c>
    </row>
    <row r="504" spans="1:24" x14ac:dyDescent="0.2">
      <c r="A504" t="s">
        <v>17</v>
      </c>
      <c r="B504" t="s">
        <v>23</v>
      </c>
      <c r="C504" t="s">
        <v>45</v>
      </c>
      <c r="D504" t="s">
        <v>208</v>
      </c>
      <c r="E504" t="s">
        <v>592</v>
      </c>
      <c r="F504" t="s">
        <v>1341</v>
      </c>
      <c r="H504" t="s">
        <v>1669</v>
      </c>
      <c r="I504" t="s">
        <v>1671</v>
      </c>
      <c r="J504" t="s">
        <v>1674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f>N504-K504</f>
        <v>0</v>
      </c>
      <c r="R504">
        <f>O504-L504</f>
        <v>0</v>
      </c>
      <c r="S504">
        <f>P504-M504</f>
        <v>0</v>
      </c>
      <c r="T504">
        <v>360</v>
      </c>
      <c r="U504" s="14">
        <v>1002212.0499999995</v>
      </c>
      <c r="V504" s="14">
        <v>611</v>
      </c>
      <c r="W504" s="16">
        <v>3.2392374009559111E-3</v>
      </c>
      <c r="X504" s="16">
        <v>1.1065392667502156E-3</v>
      </c>
    </row>
    <row r="505" spans="1:24" x14ac:dyDescent="0.2">
      <c r="A505" t="s">
        <v>13</v>
      </c>
      <c r="B505" t="s">
        <v>20</v>
      </c>
      <c r="C505" t="s">
        <v>33</v>
      </c>
      <c r="D505" t="s">
        <v>88</v>
      </c>
      <c r="E505" t="s">
        <v>302</v>
      </c>
      <c r="F505" t="s">
        <v>1342</v>
      </c>
      <c r="H505" t="s">
        <v>1669</v>
      </c>
      <c r="I505" t="s">
        <v>1671</v>
      </c>
      <c r="J505" t="s">
        <v>1674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f>N505-K505</f>
        <v>0</v>
      </c>
      <c r="R505">
        <f>O505-L505</f>
        <v>0</v>
      </c>
      <c r="S505">
        <f>P505-M505</f>
        <v>0</v>
      </c>
      <c r="T505">
        <v>0</v>
      </c>
      <c r="U505" s="14">
        <v>0</v>
      </c>
      <c r="V505" s="14">
        <v>0</v>
      </c>
      <c r="W505" s="16">
        <v>0</v>
      </c>
      <c r="X505" s="16">
        <v>0</v>
      </c>
    </row>
    <row r="506" spans="1:24" x14ac:dyDescent="0.2">
      <c r="A506" t="s">
        <v>13</v>
      </c>
      <c r="B506" t="s">
        <v>20</v>
      </c>
      <c r="C506" t="s">
        <v>38</v>
      </c>
      <c r="D506" t="s">
        <v>102</v>
      </c>
      <c r="E506" t="s">
        <v>336</v>
      </c>
      <c r="F506" t="s">
        <v>1343</v>
      </c>
      <c r="H506" t="s">
        <v>1669</v>
      </c>
      <c r="I506" t="s">
        <v>1671</v>
      </c>
      <c r="J506" t="s">
        <v>1674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f>N506-K506</f>
        <v>0</v>
      </c>
      <c r="R506">
        <f>O506-L506</f>
        <v>0</v>
      </c>
      <c r="S506">
        <f>P506-M506</f>
        <v>0</v>
      </c>
      <c r="T506">
        <v>4</v>
      </c>
      <c r="U506" s="14">
        <v>99780</v>
      </c>
      <c r="V506" s="14">
        <v>14</v>
      </c>
      <c r="W506" s="16">
        <v>3.2249772677087746E-4</v>
      </c>
      <c r="X506" s="16">
        <v>2.5354418550741437E-5</v>
      </c>
    </row>
    <row r="507" spans="1:24" x14ac:dyDescent="0.2">
      <c r="A507" t="s">
        <v>12</v>
      </c>
      <c r="B507" t="s">
        <v>18</v>
      </c>
      <c r="C507" t="s">
        <v>32</v>
      </c>
      <c r="D507" t="s">
        <v>209</v>
      </c>
      <c r="E507" t="s">
        <v>593</v>
      </c>
      <c r="F507" t="s">
        <v>1344</v>
      </c>
      <c r="H507" t="s">
        <v>1669</v>
      </c>
      <c r="I507" t="s">
        <v>1671</v>
      </c>
      <c r="J507" t="s">
        <v>1674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f>N507-K507</f>
        <v>0</v>
      </c>
      <c r="R507">
        <f>O507-L507</f>
        <v>0</v>
      </c>
      <c r="S507">
        <f>P507-M507</f>
        <v>0</v>
      </c>
      <c r="T507">
        <v>68</v>
      </c>
      <c r="U507" s="14">
        <v>606050.39</v>
      </c>
      <c r="V507" s="14">
        <v>197</v>
      </c>
      <c r="W507" s="16">
        <v>1.9588081086751225E-3</v>
      </c>
      <c r="X507" s="16">
        <v>3.5677288960686164E-4</v>
      </c>
    </row>
    <row r="508" spans="1:24" x14ac:dyDescent="0.2">
      <c r="A508" t="s">
        <v>12</v>
      </c>
      <c r="B508" s="35" t="s">
        <v>19</v>
      </c>
      <c r="C508" t="s">
        <v>27</v>
      </c>
      <c r="D508" t="s">
        <v>68</v>
      </c>
      <c r="E508" t="s">
        <v>254</v>
      </c>
      <c r="F508" t="s">
        <v>702</v>
      </c>
      <c r="H508" t="s">
        <v>1670</v>
      </c>
      <c r="I508" t="s">
        <v>1671</v>
      </c>
      <c r="J508" t="s">
        <v>1674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1</v>
      </c>
      <c r="Q508">
        <f>N508-K508</f>
        <v>0</v>
      </c>
      <c r="R508">
        <f>O508-L508</f>
        <v>0</v>
      </c>
      <c r="S508">
        <f>P508-M508</f>
        <v>0</v>
      </c>
      <c r="T508">
        <v>14</v>
      </c>
      <c r="U508" s="14">
        <v>34512.22</v>
      </c>
      <c r="V508" s="14">
        <v>73</v>
      </c>
      <c r="W508" s="16">
        <v>1.1154652731826431E-4</v>
      </c>
      <c r="X508" s="16">
        <v>1.3220518244315177E-4</v>
      </c>
    </row>
    <row r="509" spans="1:24" x14ac:dyDescent="0.2">
      <c r="A509" t="s">
        <v>16</v>
      </c>
      <c r="B509" t="s">
        <v>22</v>
      </c>
      <c r="C509" t="s">
        <v>39</v>
      </c>
      <c r="D509" t="s">
        <v>166</v>
      </c>
      <c r="E509" t="s">
        <v>461</v>
      </c>
      <c r="F509" t="s">
        <v>1042</v>
      </c>
      <c r="H509" t="s">
        <v>1670</v>
      </c>
      <c r="I509" t="s">
        <v>1670</v>
      </c>
      <c r="J509" t="s">
        <v>1673</v>
      </c>
      <c r="K509">
        <v>1</v>
      </c>
      <c r="L509">
        <v>0</v>
      </c>
      <c r="M509">
        <v>1</v>
      </c>
      <c r="N509">
        <v>2</v>
      </c>
      <c r="O509">
        <v>0</v>
      </c>
      <c r="P509">
        <v>2</v>
      </c>
      <c r="Q509">
        <f>N509-K509</f>
        <v>1</v>
      </c>
      <c r="R509">
        <f>O509-L509</f>
        <v>0</v>
      </c>
      <c r="S509">
        <f>P509-M509</f>
        <v>1</v>
      </c>
      <c r="T509">
        <v>31</v>
      </c>
      <c r="U509" s="14">
        <v>34021.06</v>
      </c>
      <c r="V509" s="14">
        <v>85</v>
      </c>
      <c r="W509" s="16">
        <v>1.0995905504445408E-4</v>
      </c>
      <c r="X509" s="16">
        <v>1.5393754120093014E-4</v>
      </c>
    </row>
    <row r="510" spans="1:24" x14ac:dyDescent="0.2">
      <c r="A510" t="s">
        <v>16</v>
      </c>
      <c r="B510" t="s">
        <v>22</v>
      </c>
      <c r="C510" t="s">
        <v>46</v>
      </c>
      <c r="D510" t="s">
        <v>211</v>
      </c>
      <c r="E510" t="s">
        <v>630</v>
      </c>
      <c r="F510" t="s">
        <v>1442</v>
      </c>
      <c r="G510" t="s">
        <v>1719</v>
      </c>
      <c r="H510" t="s">
        <v>1670</v>
      </c>
      <c r="I510" t="s">
        <v>1672</v>
      </c>
      <c r="J510" t="s">
        <v>1674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f>N510-K510</f>
        <v>0</v>
      </c>
      <c r="R510">
        <f>O510-L510</f>
        <v>0</v>
      </c>
      <c r="S510">
        <f>P510-M510</f>
        <v>0</v>
      </c>
      <c r="T510">
        <v>4</v>
      </c>
      <c r="U510" s="14">
        <v>33535</v>
      </c>
      <c r="V510" s="14">
        <v>11</v>
      </c>
      <c r="W510" s="16">
        <v>1.0838806641873498E-4</v>
      </c>
      <c r="X510" s="16">
        <v>1.9921328861296842E-5</v>
      </c>
    </row>
    <row r="511" spans="1:24" x14ac:dyDescent="0.2">
      <c r="A511" t="s">
        <v>16</v>
      </c>
      <c r="B511" t="s">
        <v>22</v>
      </c>
      <c r="C511" t="s">
        <v>39</v>
      </c>
      <c r="D511" t="s">
        <v>161</v>
      </c>
      <c r="E511" t="s">
        <v>455</v>
      </c>
      <c r="F511" t="s">
        <v>1033</v>
      </c>
      <c r="H511" t="s">
        <v>1670</v>
      </c>
      <c r="I511" t="s">
        <v>1671</v>
      </c>
      <c r="J511" t="s">
        <v>1674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f>N511-K511</f>
        <v>-1</v>
      </c>
      <c r="R511">
        <f>O511-L511</f>
        <v>0</v>
      </c>
      <c r="S511">
        <f>P511-M511</f>
        <v>-1</v>
      </c>
      <c r="T511">
        <v>13</v>
      </c>
      <c r="U511" s="14">
        <v>32570.819999999996</v>
      </c>
      <c r="V511" s="14">
        <v>256</v>
      </c>
      <c r="W511" s="16">
        <v>1.0527175194491312E-4</v>
      </c>
      <c r="X511" s="16">
        <v>4.6362365349927198E-4</v>
      </c>
    </row>
    <row r="512" spans="1:24" x14ac:dyDescent="0.2">
      <c r="A512" t="s">
        <v>16</v>
      </c>
      <c r="B512" t="s">
        <v>22</v>
      </c>
      <c r="C512" t="s">
        <v>39</v>
      </c>
      <c r="D512" t="s">
        <v>161</v>
      </c>
      <c r="E512" t="s">
        <v>455</v>
      </c>
      <c r="F512" t="s">
        <v>1351</v>
      </c>
      <c r="H512" t="s">
        <v>1670</v>
      </c>
      <c r="I512" t="s">
        <v>1670</v>
      </c>
      <c r="J512" t="s">
        <v>1674</v>
      </c>
      <c r="K512">
        <v>0</v>
      </c>
      <c r="L512">
        <v>0</v>
      </c>
      <c r="M512">
        <v>0</v>
      </c>
      <c r="N512">
        <v>5</v>
      </c>
      <c r="O512">
        <v>0</v>
      </c>
      <c r="P512">
        <v>5</v>
      </c>
      <c r="Q512">
        <f>N512-K512</f>
        <v>5</v>
      </c>
      <c r="R512">
        <f>O512-L512</f>
        <v>0</v>
      </c>
      <c r="S512">
        <f>P512-M512</f>
        <v>5</v>
      </c>
      <c r="T512">
        <v>9</v>
      </c>
      <c r="U512" s="14">
        <v>32274.61</v>
      </c>
      <c r="V512" s="14">
        <v>169</v>
      </c>
      <c r="W512" s="16">
        <v>1.0431437519960544E-4</v>
      </c>
      <c r="X512" s="16">
        <v>3.0606405250537878E-4</v>
      </c>
    </row>
    <row r="513" spans="1:24" x14ac:dyDescent="0.2">
      <c r="A513" t="s">
        <v>16</v>
      </c>
      <c r="B513" t="s">
        <v>22</v>
      </c>
      <c r="C513" t="s">
        <v>39</v>
      </c>
      <c r="D513" t="s">
        <v>212</v>
      </c>
      <c r="E513" t="s">
        <v>628</v>
      </c>
      <c r="F513" t="s">
        <v>1439</v>
      </c>
      <c r="H513" t="s">
        <v>1670</v>
      </c>
      <c r="I513" t="s">
        <v>1670</v>
      </c>
      <c r="J513" t="s">
        <v>1674</v>
      </c>
      <c r="K513">
        <v>0</v>
      </c>
      <c r="L513">
        <v>0</v>
      </c>
      <c r="M513">
        <v>0</v>
      </c>
      <c r="N513">
        <v>6</v>
      </c>
      <c r="O513">
        <v>0</v>
      </c>
      <c r="P513">
        <v>6</v>
      </c>
      <c r="Q513">
        <f>N513-K513</f>
        <v>6</v>
      </c>
      <c r="R513">
        <f>O513-L513</f>
        <v>0</v>
      </c>
      <c r="S513">
        <f>P513-M513</f>
        <v>6</v>
      </c>
      <c r="T513">
        <v>11</v>
      </c>
      <c r="U513" s="14">
        <v>31676.309999999998</v>
      </c>
      <c r="V513" s="14">
        <v>224</v>
      </c>
      <c r="W513" s="16">
        <v>1.0238061703236734E-4</v>
      </c>
      <c r="X513" s="16">
        <v>4.05670696811863E-4</v>
      </c>
    </row>
    <row r="514" spans="1:24" x14ac:dyDescent="0.2">
      <c r="A514" t="s">
        <v>14</v>
      </c>
      <c r="B514" s="35" t="s">
        <v>19</v>
      </c>
      <c r="C514" t="s">
        <v>27</v>
      </c>
      <c r="D514" t="s">
        <v>210</v>
      </c>
      <c r="E514" t="s">
        <v>609</v>
      </c>
      <c r="F514" t="s">
        <v>1388</v>
      </c>
      <c r="H514" t="s">
        <v>1670</v>
      </c>
      <c r="I514" t="s">
        <v>1670</v>
      </c>
      <c r="J514" t="s">
        <v>1674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f>N514-K514</f>
        <v>0</v>
      </c>
      <c r="R514">
        <f>O514-L514</f>
        <v>0</v>
      </c>
      <c r="S514">
        <f>P514-M514</f>
        <v>0</v>
      </c>
      <c r="T514">
        <v>13</v>
      </c>
      <c r="U514" s="14">
        <v>31437.45</v>
      </c>
      <c r="V514" s="14">
        <v>1902</v>
      </c>
      <c r="W514" s="16">
        <v>1.0160860052588818E-4</v>
      </c>
      <c r="X514" s="16">
        <v>3.4445788631078723E-3</v>
      </c>
    </row>
    <row r="515" spans="1:24" x14ac:dyDescent="0.2">
      <c r="A515" t="s">
        <v>16</v>
      </c>
      <c r="B515" t="s">
        <v>22</v>
      </c>
      <c r="C515" t="s">
        <v>39</v>
      </c>
      <c r="D515" t="s">
        <v>156</v>
      </c>
      <c r="E515" t="s">
        <v>435</v>
      </c>
      <c r="F515" t="s">
        <v>1502</v>
      </c>
      <c r="H515" t="s">
        <v>1670</v>
      </c>
      <c r="I515" t="s">
        <v>1671</v>
      </c>
      <c r="J515" t="s">
        <v>1674</v>
      </c>
      <c r="K515">
        <v>0</v>
      </c>
      <c r="L515">
        <v>0</v>
      </c>
      <c r="M515">
        <v>0</v>
      </c>
      <c r="N515">
        <v>2</v>
      </c>
      <c r="O515">
        <v>0</v>
      </c>
      <c r="P515">
        <v>2</v>
      </c>
      <c r="Q515">
        <f>N515-K515</f>
        <v>2</v>
      </c>
      <c r="R515">
        <f>O515-L515</f>
        <v>0</v>
      </c>
      <c r="S515">
        <f>P515-M515</f>
        <v>2</v>
      </c>
      <c r="T515">
        <v>27</v>
      </c>
      <c r="U515" s="14">
        <v>30699.88</v>
      </c>
      <c r="V515" s="14">
        <v>117</v>
      </c>
      <c r="W515" s="16">
        <v>9.9224709482248204E-5</v>
      </c>
      <c r="X515" s="16">
        <v>2.1189049788833915E-4</v>
      </c>
    </row>
    <row r="516" spans="1:24" x14ac:dyDescent="0.2">
      <c r="A516" t="s">
        <v>16</v>
      </c>
      <c r="B516" t="s">
        <v>22</v>
      </c>
      <c r="C516" t="s">
        <v>39</v>
      </c>
      <c r="D516" t="s">
        <v>165</v>
      </c>
      <c r="E516" t="s">
        <v>460</v>
      </c>
      <c r="F516" t="s">
        <v>1518</v>
      </c>
      <c r="H516" t="s">
        <v>1670</v>
      </c>
      <c r="I516" t="s">
        <v>1671</v>
      </c>
      <c r="J516" t="s">
        <v>1674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f>N516-K516</f>
        <v>0</v>
      </c>
      <c r="R516">
        <f>O516-L516</f>
        <v>0</v>
      </c>
      <c r="S516">
        <f>P516-M516</f>
        <v>0</v>
      </c>
      <c r="T516">
        <v>27</v>
      </c>
      <c r="U516" s="14">
        <v>30291.66</v>
      </c>
      <c r="V516" s="14">
        <v>55</v>
      </c>
      <c r="W516" s="16">
        <v>9.7905306575629566E-5</v>
      </c>
      <c r="X516" s="16">
        <v>9.9606644306484218E-5</v>
      </c>
    </row>
    <row r="517" spans="1:24" x14ac:dyDescent="0.2">
      <c r="A517" t="s">
        <v>14</v>
      </c>
      <c r="B517" s="35" t="s">
        <v>19</v>
      </c>
      <c r="C517" t="s">
        <v>42</v>
      </c>
      <c r="D517" t="s">
        <v>111</v>
      </c>
      <c r="E517" t="s">
        <v>354</v>
      </c>
      <c r="F517" t="s">
        <v>863</v>
      </c>
      <c r="H517" t="s">
        <v>1670</v>
      </c>
      <c r="I517" t="s">
        <v>1670</v>
      </c>
      <c r="J517" t="s">
        <v>1674</v>
      </c>
      <c r="K517">
        <v>6</v>
      </c>
      <c r="L517">
        <v>0</v>
      </c>
      <c r="M517">
        <v>6</v>
      </c>
      <c r="N517">
        <v>6</v>
      </c>
      <c r="O517">
        <v>0</v>
      </c>
      <c r="P517">
        <v>6</v>
      </c>
      <c r="Q517">
        <f>N517-K517</f>
        <v>0</v>
      </c>
      <c r="R517">
        <f>O517-L517</f>
        <v>0</v>
      </c>
      <c r="S517">
        <f>P517-M517</f>
        <v>0</v>
      </c>
      <c r="T517">
        <v>4</v>
      </c>
      <c r="U517" s="14">
        <v>29516</v>
      </c>
      <c r="V517" s="14">
        <v>95</v>
      </c>
      <c r="W517" s="16">
        <v>9.5398305305363995E-5</v>
      </c>
      <c r="X517" s="16">
        <v>1.7204784016574545E-4</v>
      </c>
    </row>
    <row r="518" spans="1:24" x14ac:dyDescent="0.2">
      <c r="A518" t="s">
        <v>14</v>
      </c>
      <c r="B518" s="35" t="s">
        <v>19</v>
      </c>
      <c r="C518" t="s">
        <v>42</v>
      </c>
      <c r="D518" t="s">
        <v>110</v>
      </c>
      <c r="E518" t="s">
        <v>351</v>
      </c>
      <c r="F518" t="s">
        <v>1481</v>
      </c>
      <c r="H518" t="s">
        <v>1670</v>
      </c>
      <c r="I518" t="s">
        <v>1670</v>
      </c>
      <c r="J518" t="s">
        <v>1674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f>N518-K518</f>
        <v>0</v>
      </c>
      <c r="R518">
        <f>O518-L518</f>
        <v>0</v>
      </c>
      <c r="S518">
        <f>P518-M518</f>
        <v>0</v>
      </c>
      <c r="T518">
        <v>1</v>
      </c>
      <c r="U518" s="14">
        <v>29314.27</v>
      </c>
      <c r="V518" s="14">
        <v>275</v>
      </c>
      <c r="W518" s="16">
        <v>9.4746296221163867E-5</v>
      </c>
      <c r="X518" s="16">
        <v>4.9803322153242104E-4</v>
      </c>
    </row>
    <row r="519" spans="1:24" x14ac:dyDescent="0.2">
      <c r="A519" t="s">
        <v>16</v>
      </c>
      <c r="B519" t="s">
        <v>22</v>
      </c>
      <c r="C519" t="s">
        <v>39</v>
      </c>
      <c r="D519" t="s">
        <v>158</v>
      </c>
      <c r="E519" t="s">
        <v>446</v>
      </c>
      <c r="F519" t="s">
        <v>1348</v>
      </c>
      <c r="H519" t="s">
        <v>1670</v>
      </c>
      <c r="I519" t="s">
        <v>1670</v>
      </c>
      <c r="J519" t="s">
        <v>1674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f>N519-K519</f>
        <v>0</v>
      </c>
      <c r="R519">
        <f>O519-L519</f>
        <v>0</v>
      </c>
      <c r="S519">
        <f>P519-M519</f>
        <v>0</v>
      </c>
      <c r="T519">
        <v>16</v>
      </c>
      <c r="U519" s="14">
        <v>28581.71</v>
      </c>
      <c r="V519" s="14">
        <v>1211</v>
      </c>
      <c r="W519" s="16">
        <v>9.2378597937707515E-5</v>
      </c>
      <c r="X519" s="16">
        <v>2.193157204639134E-3</v>
      </c>
    </row>
    <row r="520" spans="1:24" x14ac:dyDescent="0.2">
      <c r="A520" t="s">
        <v>13</v>
      </c>
      <c r="B520" t="s">
        <v>22</v>
      </c>
      <c r="C520" t="s">
        <v>37</v>
      </c>
      <c r="D520" t="s">
        <v>153</v>
      </c>
      <c r="E520" t="s">
        <v>597</v>
      </c>
      <c r="F520" t="s">
        <v>1354</v>
      </c>
      <c r="H520" t="s">
        <v>1670</v>
      </c>
      <c r="I520" t="s">
        <v>1670</v>
      </c>
      <c r="J520" t="s">
        <v>1674</v>
      </c>
      <c r="K520">
        <v>0</v>
      </c>
      <c r="L520">
        <v>0</v>
      </c>
      <c r="M520">
        <v>0</v>
      </c>
      <c r="N520">
        <v>7</v>
      </c>
      <c r="O520">
        <v>0</v>
      </c>
      <c r="P520">
        <v>7</v>
      </c>
      <c r="Q520">
        <f>N520-K520</f>
        <v>7</v>
      </c>
      <c r="R520">
        <f>O520-L520</f>
        <v>0</v>
      </c>
      <c r="S520">
        <f>P520-M520</f>
        <v>7</v>
      </c>
      <c r="T520">
        <v>13</v>
      </c>
      <c r="U520" s="14">
        <v>27758.15</v>
      </c>
      <c r="V520" s="14">
        <v>168</v>
      </c>
      <c r="W520" s="16">
        <v>8.9716779658899907E-5</v>
      </c>
      <c r="X520" s="16">
        <v>3.0425302260889722E-4</v>
      </c>
    </row>
    <row r="521" spans="1:24" x14ac:dyDescent="0.2">
      <c r="A521" t="s">
        <v>13</v>
      </c>
      <c r="B521" t="s">
        <v>21</v>
      </c>
      <c r="C521" t="s">
        <v>35</v>
      </c>
      <c r="D521" t="s">
        <v>206</v>
      </c>
      <c r="E521" t="s">
        <v>604</v>
      </c>
      <c r="F521" t="s">
        <v>604</v>
      </c>
      <c r="G521" t="s">
        <v>1719</v>
      </c>
      <c r="H521" t="s">
        <v>1669</v>
      </c>
      <c r="I521" t="s">
        <v>1672</v>
      </c>
      <c r="J521" t="s">
        <v>1674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f>N521-K521</f>
        <v>0</v>
      </c>
      <c r="R521">
        <f>O521-L521</f>
        <v>0</v>
      </c>
      <c r="S521">
        <f>P521-M521</f>
        <v>0</v>
      </c>
      <c r="T521">
        <v>0</v>
      </c>
      <c r="U521" s="14">
        <v>0</v>
      </c>
      <c r="V521" s="14">
        <v>0</v>
      </c>
      <c r="W521" s="16">
        <v>0</v>
      </c>
      <c r="X521" s="16">
        <v>0</v>
      </c>
    </row>
    <row r="522" spans="1:24" x14ac:dyDescent="0.2">
      <c r="A522" t="s">
        <v>14</v>
      </c>
      <c r="B522" s="35" t="s">
        <v>19</v>
      </c>
      <c r="C522" t="s">
        <v>27</v>
      </c>
      <c r="D522" t="s">
        <v>136</v>
      </c>
      <c r="E522" t="s">
        <v>606</v>
      </c>
      <c r="F522" t="s">
        <v>1578</v>
      </c>
      <c r="H522" t="s">
        <v>1670</v>
      </c>
      <c r="I522" t="s">
        <v>1670</v>
      </c>
      <c r="J522" t="s">
        <v>1674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f>N522-K522</f>
        <v>0</v>
      </c>
      <c r="R522">
        <f>O522-L522</f>
        <v>0</v>
      </c>
      <c r="S522">
        <f>P522-M522</f>
        <v>0</v>
      </c>
      <c r="T522">
        <v>7</v>
      </c>
      <c r="U522" s="14">
        <v>27669.360000000001</v>
      </c>
      <c r="V522" s="14">
        <v>138</v>
      </c>
      <c r="W522" s="16">
        <v>8.9429802577721459E-5</v>
      </c>
      <c r="X522" s="16">
        <v>2.499221257144513E-4</v>
      </c>
    </row>
    <row r="523" spans="1:24" x14ac:dyDescent="0.2">
      <c r="A523" t="s">
        <v>17</v>
      </c>
      <c r="B523" t="s">
        <v>24</v>
      </c>
      <c r="C523" t="s">
        <v>49</v>
      </c>
      <c r="D523" t="s">
        <v>179</v>
      </c>
      <c r="E523" t="s">
        <v>493</v>
      </c>
      <c r="F523" t="s">
        <v>1097</v>
      </c>
      <c r="H523" t="s">
        <v>1670</v>
      </c>
      <c r="I523" t="s">
        <v>1670</v>
      </c>
      <c r="J523" t="s">
        <v>1674</v>
      </c>
      <c r="K523">
        <v>2</v>
      </c>
      <c r="L523">
        <v>0</v>
      </c>
      <c r="M523">
        <v>2</v>
      </c>
      <c r="N523">
        <v>0</v>
      </c>
      <c r="O523">
        <v>0</v>
      </c>
      <c r="P523">
        <v>0</v>
      </c>
      <c r="Q523">
        <f>N523-K523</f>
        <v>-2</v>
      </c>
      <c r="R523">
        <f>O523-L523</f>
        <v>0</v>
      </c>
      <c r="S523">
        <f>P523-M523</f>
        <v>-2</v>
      </c>
      <c r="T523">
        <v>17</v>
      </c>
      <c r="U523" s="14">
        <v>26938.41</v>
      </c>
      <c r="V523" s="14">
        <v>31</v>
      </c>
      <c r="W523" s="16">
        <v>8.706730795572132E-5</v>
      </c>
      <c r="X523" s="16">
        <v>5.6141926790927467E-5</v>
      </c>
    </row>
    <row r="524" spans="1:24" x14ac:dyDescent="0.2">
      <c r="A524" t="s">
        <v>12</v>
      </c>
      <c r="B524" s="35" t="s">
        <v>19</v>
      </c>
      <c r="C524" t="s">
        <v>52</v>
      </c>
      <c r="D524" t="s">
        <v>140</v>
      </c>
      <c r="E524" t="s">
        <v>685</v>
      </c>
      <c r="F524" t="s">
        <v>1620</v>
      </c>
      <c r="H524" t="s">
        <v>1670</v>
      </c>
      <c r="I524" t="s">
        <v>1671</v>
      </c>
      <c r="J524" t="s">
        <v>1674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f>N524-K524</f>
        <v>0</v>
      </c>
      <c r="R524">
        <f>O524-L524</f>
        <v>0</v>
      </c>
      <c r="S524">
        <f>P524-M524</f>
        <v>0</v>
      </c>
      <c r="T524">
        <v>1</v>
      </c>
      <c r="U524" s="14">
        <v>25854.07</v>
      </c>
      <c r="V524" s="14">
        <v>78</v>
      </c>
      <c r="W524" s="16">
        <v>8.3562625804521346E-5</v>
      </c>
      <c r="X524" s="16">
        <v>1.4126033192555943E-4</v>
      </c>
    </row>
    <row r="525" spans="1:24" x14ac:dyDescent="0.2">
      <c r="A525" t="s">
        <v>16</v>
      </c>
      <c r="B525" t="s">
        <v>22</v>
      </c>
      <c r="C525" t="s">
        <v>39</v>
      </c>
      <c r="D525" t="s">
        <v>156</v>
      </c>
      <c r="E525" t="s">
        <v>436</v>
      </c>
      <c r="F525" t="s">
        <v>1377</v>
      </c>
      <c r="H525" t="s">
        <v>1670</v>
      </c>
      <c r="I525" t="s">
        <v>1670</v>
      </c>
      <c r="J525" t="s">
        <v>1674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f>N525-K525</f>
        <v>1</v>
      </c>
      <c r="R525">
        <f>O525-L525</f>
        <v>0</v>
      </c>
      <c r="S525">
        <f>P525-M525</f>
        <v>1</v>
      </c>
      <c r="T525">
        <v>5</v>
      </c>
      <c r="U525" s="14">
        <v>25849.850000000002</v>
      </c>
      <c r="V525" s="14">
        <v>58</v>
      </c>
      <c r="W525" s="16">
        <v>8.3548986393747925E-5</v>
      </c>
      <c r="X525" s="16">
        <v>1.0503973399592881E-4</v>
      </c>
    </row>
    <row r="526" spans="1:24" x14ac:dyDescent="0.2">
      <c r="A526" t="s">
        <v>13</v>
      </c>
      <c r="B526" t="s">
        <v>22</v>
      </c>
      <c r="C526" t="s">
        <v>37</v>
      </c>
      <c r="D526" t="s">
        <v>98</v>
      </c>
      <c r="E526" t="s">
        <v>330</v>
      </c>
      <c r="F526" t="s">
        <v>330</v>
      </c>
      <c r="H526" t="s">
        <v>1670</v>
      </c>
      <c r="I526" t="s">
        <v>1670</v>
      </c>
      <c r="J526" t="s">
        <v>1674</v>
      </c>
      <c r="K526">
        <v>1</v>
      </c>
      <c r="L526">
        <v>0</v>
      </c>
      <c r="M526">
        <v>1</v>
      </c>
      <c r="N526">
        <v>2</v>
      </c>
      <c r="O526">
        <v>0</v>
      </c>
      <c r="P526">
        <v>2</v>
      </c>
      <c r="Q526">
        <f>N526-K526</f>
        <v>1</v>
      </c>
      <c r="R526">
        <f>O526-L526</f>
        <v>0</v>
      </c>
      <c r="S526">
        <f>P526-M526</f>
        <v>1</v>
      </c>
      <c r="T526">
        <v>28</v>
      </c>
      <c r="U526" s="14">
        <v>25840.560000000005</v>
      </c>
      <c r="V526" s="14">
        <v>84</v>
      </c>
      <c r="W526" s="16">
        <v>8.351896029751922E-5</v>
      </c>
      <c r="X526" s="16">
        <v>1.5212651130444861E-4</v>
      </c>
    </row>
    <row r="527" spans="1:24" x14ac:dyDescent="0.2">
      <c r="A527" t="s">
        <v>16</v>
      </c>
      <c r="B527" t="s">
        <v>22</v>
      </c>
      <c r="C527" t="s">
        <v>39</v>
      </c>
      <c r="D527" t="s">
        <v>158</v>
      </c>
      <c r="E527" t="s">
        <v>446</v>
      </c>
      <c r="F527" t="s">
        <v>1433</v>
      </c>
      <c r="H527" t="s">
        <v>1670</v>
      </c>
      <c r="I527" t="s">
        <v>1670</v>
      </c>
      <c r="J527" t="s">
        <v>1674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2</v>
      </c>
      <c r="Q527">
        <f>N527-K527</f>
        <v>2</v>
      </c>
      <c r="R527">
        <f>O527-L527</f>
        <v>0</v>
      </c>
      <c r="S527">
        <f>P527-M527</f>
        <v>2</v>
      </c>
      <c r="T527">
        <v>9</v>
      </c>
      <c r="U527" s="14">
        <v>25498.46</v>
      </c>
      <c r="V527" s="14">
        <v>271</v>
      </c>
      <c r="W527" s="16">
        <v>8.2413263040270079E-5</v>
      </c>
      <c r="X527" s="16">
        <v>4.9078910194649491E-4</v>
      </c>
    </row>
    <row r="528" spans="1:24" x14ac:dyDescent="0.2">
      <c r="A528" t="s">
        <v>14</v>
      </c>
      <c r="B528" s="35" t="s">
        <v>19</v>
      </c>
      <c r="C528" t="s">
        <v>48</v>
      </c>
      <c r="D528" t="s">
        <v>130</v>
      </c>
      <c r="E528" t="s">
        <v>373</v>
      </c>
      <c r="F528" t="s">
        <v>891</v>
      </c>
      <c r="H528" t="s">
        <v>1670</v>
      </c>
      <c r="I528" t="s">
        <v>1670</v>
      </c>
      <c r="J528" t="s">
        <v>1674</v>
      </c>
      <c r="K528">
        <v>3</v>
      </c>
      <c r="L528">
        <v>0</v>
      </c>
      <c r="M528">
        <v>3</v>
      </c>
      <c r="N528">
        <v>3</v>
      </c>
      <c r="O528">
        <v>0</v>
      </c>
      <c r="P528">
        <v>3</v>
      </c>
      <c r="Q528">
        <f>N528-K528</f>
        <v>0</v>
      </c>
      <c r="R528">
        <f>O528-L528</f>
        <v>0</v>
      </c>
      <c r="S528">
        <f>P528-M528</f>
        <v>0</v>
      </c>
      <c r="T528">
        <v>5</v>
      </c>
      <c r="U528" s="14">
        <v>24974.1</v>
      </c>
      <c r="V528" s="14">
        <v>19</v>
      </c>
      <c r="W528" s="16">
        <v>8.0718485449474546E-5</v>
      </c>
      <c r="X528" s="16">
        <v>3.4409568033149091E-5</v>
      </c>
    </row>
    <row r="529" spans="1:24" x14ac:dyDescent="0.2">
      <c r="A529" t="s">
        <v>12</v>
      </c>
      <c r="B529" s="35" t="s">
        <v>19</v>
      </c>
      <c r="C529" t="s">
        <v>28</v>
      </c>
      <c r="D529" t="s">
        <v>79</v>
      </c>
      <c r="E529" t="s">
        <v>278</v>
      </c>
      <c r="F529" t="s">
        <v>1384</v>
      </c>
      <c r="G529" t="s">
        <v>1719</v>
      </c>
      <c r="H529" t="s">
        <v>1669</v>
      </c>
      <c r="I529" t="s">
        <v>1672</v>
      </c>
      <c r="J529" t="s">
        <v>1674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f>N529-K529</f>
        <v>0</v>
      </c>
      <c r="R529">
        <f>O529-L529</f>
        <v>0</v>
      </c>
      <c r="S529">
        <f>P529-M529</f>
        <v>0</v>
      </c>
      <c r="T529">
        <v>0</v>
      </c>
      <c r="U529" s="14">
        <v>0</v>
      </c>
      <c r="V529" s="14">
        <v>0</v>
      </c>
      <c r="W529" s="16">
        <v>0</v>
      </c>
      <c r="X529" s="16">
        <v>0</v>
      </c>
    </row>
    <row r="530" spans="1:24" x14ac:dyDescent="0.2">
      <c r="A530" t="s">
        <v>16</v>
      </c>
      <c r="B530" t="s">
        <v>22</v>
      </c>
      <c r="C530" t="s">
        <v>39</v>
      </c>
      <c r="D530" t="s">
        <v>159</v>
      </c>
      <c r="E530" t="s">
        <v>448</v>
      </c>
      <c r="F530" t="s">
        <v>1515</v>
      </c>
      <c r="H530" t="s">
        <v>1670</v>
      </c>
      <c r="I530" t="s">
        <v>1670</v>
      </c>
      <c r="J530" t="s">
        <v>1674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f>N530-K530</f>
        <v>1</v>
      </c>
      <c r="R530">
        <f>O530-L530</f>
        <v>0</v>
      </c>
      <c r="S530">
        <f>P530-M530</f>
        <v>1</v>
      </c>
      <c r="T530">
        <v>4</v>
      </c>
      <c r="U530" s="14">
        <v>23910.690000000002</v>
      </c>
      <c r="V530" s="14">
        <v>44</v>
      </c>
      <c r="W530" s="16">
        <v>7.7281450897205377E-5</v>
      </c>
      <c r="X530" s="16">
        <v>7.9685315445187366E-5</v>
      </c>
    </row>
    <row r="531" spans="1:24" x14ac:dyDescent="0.2">
      <c r="A531" t="s">
        <v>13</v>
      </c>
      <c r="B531" t="s">
        <v>22</v>
      </c>
      <c r="C531" t="s">
        <v>46</v>
      </c>
      <c r="D531" t="s">
        <v>170</v>
      </c>
      <c r="E531" t="s">
        <v>608</v>
      </c>
      <c r="F531" t="s">
        <v>1387</v>
      </c>
      <c r="G531" t="s">
        <v>1719</v>
      </c>
      <c r="H531" t="s">
        <v>1670</v>
      </c>
      <c r="I531" t="s">
        <v>1672</v>
      </c>
      <c r="J531" t="s">
        <v>1674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f>N531-K531</f>
        <v>0</v>
      </c>
      <c r="R531">
        <f>O531-L531</f>
        <v>0</v>
      </c>
      <c r="S531">
        <f>P531-M531</f>
        <v>0</v>
      </c>
      <c r="T531">
        <v>29</v>
      </c>
      <c r="U531" s="14">
        <v>23607.66</v>
      </c>
      <c r="V531" s="14">
        <v>148</v>
      </c>
      <c r="W531" s="16">
        <v>7.6302031312685642E-5</v>
      </c>
      <c r="X531" s="16">
        <v>2.680324246792666E-4</v>
      </c>
    </row>
    <row r="532" spans="1:24" x14ac:dyDescent="0.2">
      <c r="A532" t="s">
        <v>16</v>
      </c>
      <c r="B532" t="s">
        <v>22</v>
      </c>
      <c r="C532" t="s">
        <v>39</v>
      </c>
      <c r="D532" t="s">
        <v>156</v>
      </c>
      <c r="E532" t="s">
        <v>436</v>
      </c>
      <c r="F532" t="s">
        <v>1421</v>
      </c>
      <c r="H532" t="s">
        <v>1670</v>
      </c>
      <c r="I532" t="s">
        <v>1670</v>
      </c>
      <c r="J532" t="s">
        <v>1673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2</v>
      </c>
      <c r="Q532">
        <f>N532-K532</f>
        <v>2</v>
      </c>
      <c r="R532">
        <f>O532-L532</f>
        <v>0</v>
      </c>
      <c r="S532">
        <f>P532-M532</f>
        <v>2</v>
      </c>
      <c r="T532">
        <v>12</v>
      </c>
      <c r="U532" s="14">
        <v>23319.559999999998</v>
      </c>
      <c r="V532" s="14">
        <v>143</v>
      </c>
      <c r="W532" s="16">
        <v>7.5370866799930679E-5</v>
      </c>
      <c r="X532" s="16">
        <v>2.5897727519685892E-4</v>
      </c>
    </row>
    <row r="533" spans="1:24" x14ac:dyDescent="0.2">
      <c r="A533" t="s">
        <v>16</v>
      </c>
      <c r="B533" t="s">
        <v>22</v>
      </c>
      <c r="C533" t="s">
        <v>39</v>
      </c>
      <c r="D533" t="s">
        <v>106</v>
      </c>
      <c r="E533" t="s">
        <v>453</v>
      </c>
      <c r="F533" t="s">
        <v>1031</v>
      </c>
      <c r="H533" t="s">
        <v>1670</v>
      </c>
      <c r="I533" t="s">
        <v>1670</v>
      </c>
      <c r="J533" t="s">
        <v>1674</v>
      </c>
      <c r="K533">
        <v>1</v>
      </c>
      <c r="L533">
        <v>0</v>
      </c>
      <c r="M533">
        <v>1</v>
      </c>
      <c r="N533">
        <v>3</v>
      </c>
      <c r="O533">
        <v>0</v>
      </c>
      <c r="P533">
        <v>3</v>
      </c>
      <c r="Q533">
        <f>N533-K533</f>
        <v>2</v>
      </c>
      <c r="R533">
        <f>O533-L533</f>
        <v>0</v>
      </c>
      <c r="S533">
        <f>P533-M533</f>
        <v>2</v>
      </c>
      <c r="T533">
        <v>18</v>
      </c>
      <c r="U533" s="14">
        <v>22279.16</v>
      </c>
      <c r="V533" s="14">
        <v>82</v>
      </c>
      <c r="W533" s="16">
        <v>7.2008202589343175E-5</v>
      </c>
      <c r="X533" s="16">
        <v>1.4850445151148555E-4</v>
      </c>
    </row>
    <row r="534" spans="1:24" x14ac:dyDescent="0.2">
      <c r="A534" t="s">
        <v>14</v>
      </c>
      <c r="B534" s="35" t="s">
        <v>19</v>
      </c>
      <c r="C534" t="s">
        <v>52</v>
      </c>
      <c r="D534" t="s">
        <v>139</v>
      </c>
      <c r="E534" t="s">
        <v>389</v>
      </c>
      <c r="F534" t="s">
        <v>389</v>
      </c>
      <c r="H534" t="s">
        <v>1670</v>
      </c>
      <c r="I534" t="s">
        <v>1670</v>
      </c>
      <c r="J534" t="s">
        <v>1674</v>
      </c>
      <c r="K534">
        <v>13</v>
      </c>
      <c r="L534">
        <v>0</v>
      </c>
      <c r="M534">
        <v>13</v>
      </c>
      <c r="N534">
        <v>13</v>
      </c>
      <c r="O534">
        <v>0</v>
      </c>
      <c r="P534">
        <v>13</v>
      </c>
      <c r="Q534">
        <f>N534-K534</f>
        <v>0</v>
      </c>
      <c r="R534">
        <f>O534-L534</f>
        <v>0</v>
      </c>
      <c r="S534">
        <f>P534-M534</f>
        <v>0</v>
      </c>
      <c r="T534">
        <v>7</v>
      </c>
      <c r="U534" s="14">
        <v>22184.820000000003</v>
      </c>
      <c r="V534" s="14">
        <v>80</v>
      </c>
      <c r="W534" s="16">
        <v>7.1703287420536171E-5</v>
      </c>
      <c r="X534" s="16">
        <v>1.4488239171852249E-4</v>
      </c>
    </row>
    <row r="535" spans="1:24" x14ac:dyDescent="0.2">
      <c r="A535" t="s">
        <v>16</v>
      </c>
      <c r="B535" t="s">
        <v>22</v>
      </c>
      <c r="C535" t="s">
        <v>39</v>
      </c>
      <c r="D535" t="s">
        <v>163</v>
      </c>
      <c r="E535" t="s">
        <v>614</v>
      </c>
      <c r="F535" t="s">
        <v>1436</v>
      </c>
      <c r="H535" t="s">
        <v>1670</v>
      </c>
      <c r="I535" t="s">
        <v>1670</v>
      </c>
      <c r="J535" t="s">
        <v>1674</v>
      </c>
      <c r="K535">
        <v>0</v>
      </c>
      <c r="L535">
        <v>0</v>
      </c>
      <c r="M535">
        <v>0</v>
      </c>
      <c r="N535">
        <v>5</v>
      </c>
      <c r="O535">
        <v>0</v>
      </c>
      <c r="P535">
        <v>5</v>
      </c>
      <c r="Q535">
        <f>N535-K535</f>
        <v>5</v>
      </c>
      <c r="R535">
        <f>O535-L535</f>
        <v>0</v>
      </c>
      <c r="S535">
        <f>P535-M535</f>
        <v>5</v>
      </c>
      <c r="T535">
        <v>20</v>
      </c>
      <c r="U535" s="14">
        <v>22112.2</v>
      </c>
      <c r="V535" s="14">
        <v>110</v>
      </c>
      <c r="W535" s="16">
        <v>7.1468573200070132E-5</v>
      </c>
      <c r="X535" s="16">
        <v>1.9921328861296844E-4</v>
      </c>
    </row>
    <row r="536" spans="1:24" x14ac:dyDescent="0.2">
      <c r="A536" t="s">
        <v>17</v>
      </c>
      <c r="B536" t="s">
        <v>24</v>
      </c>
      <c r="C536" t="s">
        <v>49</v>
      </c>
      <c r="D536" t="s">
        <v>133</v>
      </c>
      <c r="E536" t="s">
        <v>488</v>
      </c>
      <c r="F536" t="s">
        <v>488</v>
      </c>
      <c r="H536" t="s">
        <v>1670</v>
      </c>
      <c r="I536" t="s">
        <v>1671</v>
      </c>
      <c r="J536" t="s">
        <v>1674</v>
      </c>
      <c r="K536">
        <v>3</v>
      </c>
      <c r="L536">
        <v>0</v>
      </c>
      <c r="M536">
        <v>3</v>
      </c>
      <c r="N536">
        <v>1</v>
      </c>
      <c r="O536">
        <v>0</v>
      </c>
      <c r="P536">
        <v>1</v>
      </c>
      <c r="Q536">
        <f>N536-K536</f>
        <v>-2</v>
      </c>
      <c r="R536">
        <f>O536-L536</f>
        <v>0</v>
      </c>
      <c r="S536">
        <f>P536-M536</f>
        <v>-2</v>
      </c>
      <c r="T536">
        <v>17</v>
      </c>
      <c r="U536" s="14">
        <v>22023.26</v>
      </c>
      <c r="V536" s="14">
        <v>38</v>
      </c>
      <c r="W536" s="16">
        <v>7.1181111305712512E-5</v>
      </c>
      <c r="X536" s="16">
        <v>6.8819136066298182E-5</v>
      </c>
    </row>
    <row r="537" spans="1:24" x14ac:dyDescent="0.2">
      <c r="A537" t="s">
        <v>14</v>
      </c>
      <c r="B537" s="35" t="s">
        <v>19</v>
      </c>
      <c r="C537" t="s">
        <v>48</v>
      </c>
      <c r="D537" t="s">
        <v>129</v>
      </c>
      <c r="E537" t="s">
        <v>647</v>
      </c>
      <c r="F537" t="s">
        <v>1556</v>
      </c>
      <c r="H537" t="s">
        <v>1670</v>
      </c>
      <c r="I537" t="s">
        <v>1670</v>
      </c>
      <c r="J537" t="s">
        <v>1674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f>N537-K537</f>
        <v>0</v>
      </c>
      <c r="R537">
        <f>O537-L537</f>
        <v>0</v>
      </c>
      <c r="S537">
        <f>P537-M537</f>
        <v>0</v>
      </c>
      <c r="T537">
        <v>4</v>
      </c>
      <c r="U537" s="14">
        <v>21348.960000000003</v>
      </c>
      <c r="V537" s="14">
        <v>249</v>
      </c>
      <c r="W537" s="16">
        <v>6.9001714461038223E-5</v>
      </c>
      <c r="X537" s="16">
        <v>4.5094644422390124E-4</v>
      </c>
    </row>
    <row r="538" spans="1:24" x14ac:dyDescent="0.2">
      <c r="A538" t="s">
        <v>14</v>
      </c>
      <c r="B538" s="35" t="s">
        <v>19</v>
      </c>
      <c r="C538" t="s">
        <v>27</v>
      </c>
      <c r="D538" t="s">
        <v>68</v>
      </c>
      <c r="E538" t="s">
        <v>253</v>
      </c>
      <c r="F538" t="s">
        <v>1395</v>
      </c>
      <c r="H538" t="s">
        <v>1670</v>
      </c>
      <c r="I538" t="s">
        <v>1671</v>
      </c>
      <c r="J538" t="s">
        <v>1674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f>N538-K538</f>
        <v>0</v>
      </c>
      <c r="R538">
        <f>O538-L538</f>
        <v>0</v>
      </c>
      <c r="S538">
        <f>P538-M538</f>
        <v>0</v>
      </c>
      <c r="T538">
        <v>10</v>
      </c>
      <c r="U538" s="14">
        <v>21243.88</v>
      </c>
      <c r="V538" s="14">
        <v>146</v>
      </c>
      <c r="W538" s="16">
        <v>6.8662086668604016E-5</v>
      </c>
      <c r="X538" s="16">
        <v>2.6441036488630354E-4</v>
      </c>
    </row>
    <row r="539" spans="1:24" x14ac:dyDescent="0.2">
      <c r="A539" t="s">
        <v>13</v>
      </c>
      <c r="B539" t="s">
        <v>22</v>
      </c>
      <c r="C539" t="s">
        <v>40</v>
      </c>
      <c r="D539" t="s">
        <v>229</v>
      </c>
      <c r="E539" t="s">
        <v>693</v>
      </c>
      <c r="F539" t="s">
        <v>1664</v>
      </c>
      <c r="H539" t="s">
        <v>1670</v>
      </c>
      <c r="I539" t="s">
        <v>1670</v>
      </c>
      <c r="J539" t="s">
        <v>1674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f>N539-K539</f>
        <v>0</v>
      </c>
      <c r="R539">
        <f>O539-L539</f>
        <v>0</v>
      </c>
      <c r="S539">
        <f>P539-M539</f>
        <v>0</v>
      </c>
      <c r="T539">
        <v>2</v>
      </c>
      <c r="U539" s="14">
        <v>20929</v>
      </c>
      <c r="V539" s="14">
        <v>14</v>
      </c>
      <c r="W539" s="16">
        <v>6.7644366842931389E-5</v>
      </c>
      <c r="X539" s="16">
        <v>2.5354418550741437E-5</v>
      </c>
    </row>
    <row r="540" spans="1:24" x14ac:dyDescent="0.2">
      <c r="A540" t="s">
        <v>16</v>
      </c>
      <c r="B540" t="s">
        <v>22</v>
      </c>
      <c r="C540" t="s">
        <v>39</v>
      </c>
      <c r="D540" t="s">
        <v>167</v>
      </c>
      <c r="E540" t="s">
        <v>462</v>
      </c>
      <c r="F540" t="s">
        <v>1401</v>
      </c>
      <c r="H540" t="s">
        <v>1670</v>
      </c>
      <c r="I540" t="s">
        <v>1671</v>
      </c>
      <c r="J540" t="s">
        <v>1674</v>
      </c>
      <c r="K540">
        <v>0</v>
      </c>
      <c r="L540">
        <v>0</v>
      </c>
      <c r="M540">
        <v>0</v>
      </c>
      <c r="N540">
        <v>2</v>
      </c>
      <c r="O540">
        <v>0</v>
      </c>
      <c r="P540">
        <v>2</v>
      </c>
      <c r="Q540">
        <f>N540-K540</f>
        <v>2</v>
      </c>
      <c r="R540">
        <f>O540-L540</f>
        <v>0</v>
      </c>
      <c r="S540">
        <f>P540-M540</f>
        <v>2</v>
      </c>
      <c r="T540">
        <v>6</v>
      </c>
      <c r="U540" s="14">
        <v>20921.669999999998</v>
      </c>
      <c r="V540" s="14">
        <v>35</v>
      </c>
      <c r="W540" s="16">
        <v>6.7620675638910236E-5</v>
      </c>
      <c r="X540" s="16">
        <v>6.338604637685359E-5</v>
      </c>
    </row>
    <row r="541" spans="1:24" x14ac:dyDescent="0.2">
      <c r="A541" t="s">
        <v>13</v>
      </c>
      <c r="B541" t="s">
        <v>22</v>
      </c>
      <c r="C541" t="s">
        <v>37</v>
      </c>
      <c r="D541" t="s">
        <v>100</v>
      </c>
      <c r="E541" t="s">
        <v>333</v>
      </c>
      <c r="F541" t="s">
        <v>333</v>
      </c>
      <c r="H541" t="s">
        <v>1670</v>
      </c>
      <c r="I541" t="s">
        <v>1670</v>
      </c>
      <c r="J541" t="s">
        <v>1674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f>N541-K541</f>
        <v>-1</v>
      </c>
      <c r="R541">
        <f>O541-L541</f>
        <v>0</v>
      </c>
      <c r="S541">
        <f>P541-M541</f>
        <v>-1</v>
      </c>
      <c r="T541">
        <v>1</v>
      </c>
      <c r="U541" s="14">
        <v>20721</v>
      </c>
      <c r="V541" s="14">
        <v>9</v>
      </c>
      <c r="W541" s="16">
        <v>6.6972092567842777E-5</v>
      </c>
      <c r="X541" s="16">
        <v>1.629926906833378E-5</v>
      </c>
    </row>
    <row r="542" spans="1:24" x14ac:dyDescent="0.2">
      <c r="A542" t="s">
        <v>13</v>
      </c>
      <c r="B542" t="s">
        <v>22</v>
      </c>
      <c r="C542" t="s">
        <v>46</v>
      </c>
      <c r="D542" t="s">
        <v>170</v>
      </c>
      <c r="E542" t="s">
        <v>468</v>
      </c>
      <c r="F542" t="s">
        <v>1584</v>
      </c>
      <c r="G542" t="s">
        <v>1719</v>
      </c>
      <c r="H542" t="s">
        <v>1670</v>
      </c>
      <c r="I542" t="s">
        <v>1672</v>
      </c>
      <c r="J542" t="s">
        <v>1674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f>N542-K542</f>
        <v>0</v>
      </c>
      <c r="R542">
        <f>O542-L542</f>
        <v>0</v>
      </c>
      <c r="S542">
        <f>P542-M542</f>
        <v>0</v>
      </c>
      <c r="T542">
        <v>5</v>
      </c>
      <c r="U542" s="14">
        <v>20201.980000000003</v>
      </c>
      <c r="V542" s="14">
        <v>25</v>
      </c>
      <c r="W542" s="16">
        <v>6.5294574326225021E-5</v>
      </c>
      <c r="X542" s="16">
        <v>4.5275747412038275E-5</v>
      </c>
    </row>
    <row r="543" spans="1:24" x14ac:dyDescent="0.2">
      <c r="A543" t="s">
        <v>17</v>
      </c>
      <c r="B543" t="s">
        <v>23</v>
      </c>
      <c r="C543" t="s">
        <v>60</v>
      </c>
      <c r="D543" t="s">
        <v>213</v>
      </c>
      <c r="E543" t="s">
        <v>613</v>
      </c>
      <c r="F543" t="s">
        <v>1404</v>
      </c>
      <c r="H543" t="s">
        <v>1669</v>
      </c>
      <c r="I543" t="s">
        <v>1672</v>
      </c>
      <c r="J543" t="s">
        <v>1674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f>N543-K543</f>
        <v>0</v>
      </c>
      <c r="R543">
        <f>O543-L543</f>
        <v>0</v>
      </c>
      <c r="S543">
        <f>P543-M543</f>
        <v>0</v>
      </c>
      <c r="T543">
        <v>45</v>
      </c>
      <c r="U543" s="14">
        <v>225674</v>
      </c>
      <c r="V543" s="14">
        <v>79</v>
      </c>
      <c r="W543" s="16">
        <v>7.2939819594398676E-4</v>
      </c>
      <c r="X543" s="16">
        <v>1.4307136182204096E-4</v>
      </c>
    </row>
    <row r="544" spans="1:24" x14ac:dyDescent="0.2">
      <c r="A544" t="s">
        <v>17</v>
      </c>
      <c r="B544" t="s">
        <v>23</v>
      </c>
      <c r="C544" t="s">
        <v>60</v>
      </c>
      <c r="D544" t="s">
        <v>213</v>
      </c>
      <c r="E544" t="s">
        <v>613</v>
      </c>
      <c r="F544" t="s">
        <v>1405</v>
      </c>
      <c r="H544" t="s">
        <v>1669</v>
      </c>
      <c r="I544" t="s">
        <v>1672</v>
      </c>
      <c r="J544" t="s">
        <v>1674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f>N544-K544</f>
        <v>0</v>
      </c>
      <c r="R544">
        <f>O544-L544</f>
        <v>0</v>
      </c>
      <c r="S544">
        <f>P544-M544</f>
        <v>0</v>
      </c>
      <c r="T544">
        <v>210</v>
      </c>
      <c r="U544" s="14">
        <v>1231096.2099999997</v>
      </c>
      <c r="V544" s="14">
        <v>391</v>
      </c>
      <c r="W544" s="16">
        <v>3.9790111160677762E-3</v>
      </c>
      <c r="X544" s="16">
        <v>7.0811268952427871E-4</v>
      </c>
    </row>
    <row r="545" spans="1:24" x14ac:dyDescent="0.2">
      <c r="A545" t="s">
        <v>16</v>
      </c>
      <c r="B545" t="s">
        <v>22</v>
      </c>
      <c r="C545" t="s">
        <v>39</v>
      </c>
      <c r="D545" t="s">
        <v>156</v>
      </c>
      <c r="E545" t="s">
        <v>436</v>
      </c>
      <c r="F545" t="s">
        <v>1525</v>
      </c>
      <c r="H545" t="s">
        <v>1670</v>
      </c>
      <c r="I545" t="s">
        <v>1670</v>
      </c>
      <c r="J545" t="s">
        <v>1674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f>N545-K545</f>
        <v>1</v>
      </c>
      <c r="R545">
        <f>O545-L545</f>
        <v>0</v>
      </c>
      <c r="S545">
        <f>P545-M545</f>
        <v>1</v>
      </c>
      <c r="T545">
        <v>5</v>
      </c>
      <c r="U545" s="14">
        <v>20150.52</v>
      </c>
      <c r="V545" s="14">
        <v>37</v>
      </c>
      <c r="W545" s="16">
        <v>6.5128251084897791E-5</v>
      </c>
      <c r="X545" s="16">
        <v>6.7008106169816651E-5</v>
      </c>
    </row>
    <row r="546" spans="1:24" x14ac:dyDescent="0.2">
      <c r="A546" t="s">
        <v>14</v>
      </c>
      <c r="B546" s="35" t="s">
        <v>19</v>
      </c>
      <c r="C546" t="s">
        <v>27</v>
      </c>
      <c r="D546" t="s">
        <v>135</v>
      </c>
      <c r="E546" t="s">
        <v>383</v>
      </c>
      <c r="F546" t="s">
        <v>902</v>
      </c>
      <c r="H546" t="s">
        <v>1670</v>
      </c>
      <c r="I546" t="s">
        <v>1670</v>
      </c>
      <c r="J546" t="s">
        <v>1674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f>N546-K546</f>
        <v>0</v>
      </c>
      <c r="R546">
        <f>O546-L546</f>
        <v>0</v>
      </c>
      <c r="S546">
        <f>P546-M546</f>
        <v>0</v>
      </c>
      <c r="T546">
        <v>2</v>
      </c>
      <c r="U546" s="14">
        <v>19858.45</v>
      </c>
      <c r="V546" s="14">
        <v>181</v>
      </c>
      <c r="W546" s="16">
        <v>6.4184255183334662E-5</v>
      </c>
      <c r="X546" s="16">
        <v>3.2779641126315715E-4</v>
      </c>
    </row>
    <row r="547" spans="1:24" x14ac:dyDescent="0.2">
      <c r="A547" t="s">
        <v>17</v>
      </c>
      <c r="B547" s="35" t="s">
        <v>19</v>
      </c>
      <c r="C547" t="s">
        <v>52</v>
      </c>
      <c r="D547" t="s">
        <v>140</v>
      </c>
      <c r="E547" t="s">
        <v>509</v>
      </c>
      <c r="F547" t="s">
        <v>1122</v>
      </c>
      <c r="H547" t="s">
        <v>1670</v>
      </c>
      <c r="I547" t="s">
        <v>1670</v>
      </c>
      <c r="J547" t="s">
        <v>1674</v>
      </c>
      <c r="K547">
        <v>10</v>
      </c>
      <c r="L547">
        <v>0</v>
      </c>
      <c r="M547">
        <v>10</v>
      </c>
      <c r="N547">
        <v>10</v>
      </c>
      <c r="O547">
        <v>0</v>
      </c>
      <c r="P547">
        <v>10</v>
      </c>
      <c r="Q547">
        <f>N547-K547</f>
        <v>0</v>
      </c>
      <c r="R547">
        <f>O547-L547</f>
        <v>0</v>
      </c>
      <c r="S547">
        <f>P547-M547</f>
        <v>0</v>
      </c>
      <c r="T547">
        <v>6</v>
      </c>
      <c r="U547" s="14">
        <v>19682</v>
      </c>
      <c r="V547" s="14">
        <v>76</v>
      </c>
      <c r="W547" s="16">
        <v>6.3613953280260681E-5</v>
      </c>
      <c r="X547" s="16">
        <v>1.3763827213259636E-4</v>
      </c>
    </row>
    <row r="548" spans="1:24" x14ac:dyDescent="0.2">
      <c r="A548" t="s">
        <v>12</v>
      </c>
      <c r="B548" s="35" t="s">
        <v>19</v>
      </c>
      <c r="C548" t="s">
        <v>27</v>
      </c>
      <c r="D548" t="s">
        <v>66</v>
      </c>
      <c r="E548" t="s">
        <v>249</v>
      </c>
      <c r="F548" t="s">
        <v>697</v>
      </c>
      <c r="H548" t="s">
        <v>1670</v>
      </c>
      <c r="I548" t="s">
        <v>1670</v>
      </c>
      <c r="J548" t="s">
        <v>1673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f>N548-K548</f>
        <v>0</v>
      </c>
      <c r="R548">
        <f>O548-L548</f>
        <v>0</v>
      </c>
      <c r="S548">
        <f>P548-M548</f>
        <v>0</v>
      </c>
      <c r="T548">
        <v>6</v>
      </c>
      <c r="U548" s="14">
        <v>19606.96</v>
      </c>
      <c r="V548" s="14">
        <v>15</v>
      </c>
      <c r="W548" s="16">
        <v>6.3371417407171016E-5</v>
      </c>
      <c r="X548" s="16">
        <v>2.7165448447222968E-5</v>
      </c>
    </row>
    <row r="549" spans="1:24" x14ac:dyDescent="0.2">
      <c r="A549" t="s">
        <v>14</v>
      </c>
      <c r="B549" s="35" t="s">
        <v>19</v>
      </c>
      <c r="C549" t="s">
        <v>52</v>
      </c>
      <c r="D549" t="s">
        <v>139</v>
      </c>
      <c r="E549" t="s">
        <v>645</v>
      </c>
      <c r="F549" t="s">
        <v>645</v>
      </c>
      <c r="H549" t="s">
        <v>1670</v>
      </c>
      <c r="I549" t="s">
        <v>1670</v>
      </c>
      <c r="J549" t="s">
        <v>1674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f>N549-K549</f>
        <v>0</v>
      </c>
      <c r="R549">
        <f>O549-L549</f>
        <v>0</v>
      </c>
      <c r="S549">
        <f>P549-M549</f>
        <v>0</v>
      </c>
      <c r="T549">
        <v>6</v>
      </c>
      <c r="U549" s="14">
        <v>19295.510000000002</v>
      </c>
      <c r="V549" s="14">
        <v>75</v>
      </c>
      <c r="W549" s="16">
        <v>6.2364783642861649E-5</v>
      </c>
      <c r="X549" s="16">
        <v>1.3582724223611483E-4</v>
      </c>
    </row>
    <row r="550" spans="1:24" x14ac:dyDescent="0.2">
      <c r="A550" t="s">
        <v>12</v>
      </c>
      <c r="B550" s="35" t="s">
        <v>19</v>
      </c>
      <c r="C550" t="s">
        <v>28</v>
      </c>
      <c r="D550" t="s">
        <v>73</v>
      </c>
      <c r="E550" t="s">
        <v>267</v>
      </c>
      <c r="F550" t="s">
        <v>267</v>
      </c>
      <c r="H550" t="s">
        <v>1670</v>
      </c>
      <c r="I550" t="s">
        <v>1671</v>
      </c>
      <c r="J550" t="s">
        <v>1674</v>
      </c>
      <c r="K550">
        <v>6</v>
      </c>
      <c r="L550">
        <v>0</v>
      </c>
      <c r="M550">
        <v>6</v>
      </c>
      <c r="N550">
        <v>6</v>
      </c>
      <c r="O550">
        <v>0</v>
      </c>
      <c r="P550">
        <v>6</v>
      </c>
      <c r="Q550">
        <f>N550-K550</f>
        <v>0</v>
      </c>
      <c r="R550">
        <f>O550-L550</f>
        <v>0</v>
      </c>
      <c r="S550">
        <f>P550-M550</f>
        <v>0</v>
      </c>
      <c r="T550">
        <v>9</v>
      </c>
      <c r="U550" s="14">
        <v>18780.199999999997</v>
      </c>
      <c r="V550" s="14">
        <v>92</v>
      </c>
      <c r="W550" s="16">
        <v>6.0699256447208178E-5</v>
      </c>
      <c r="X550" s="16">
        <v>1.6661475047630086E-4</v>
      </c>
    </row>
    <row r="551" spans="1:24" x14ac:dyDescent="0.2">
      <c r="A551" t="s">
        <v>16</v>
      </c>
      <c r="B551" t="s">
        <v>22</v>
      </c>
      <c r="C551" t="s">
        <v>39</v>
      </c>
      <c r="D551" t="s">
        <v>156</v>
      </c>
      <c r="E551" t="s">
        <v>438</v>
      </c>
      <c r="F551" t="s">
        <v>1002</v>
      </c>
      <c r="H551" t="s">
        <v>1670</v>
      </c>
      <c r="I551" t="s">
        <v>1670</v>
      </c>
      <c r="J551" t="s">
        <v>1674</v>
      </c>
      <c r="K551">
        <v>4</v>
      </c>
      <c r="L551">
        <v>0</v>
      </c>
      <c r="M551">
        <v>4</v>
      </c>
      <c r="N551">
        <v>5</v>
      </c>
      <c r="O551">
        <v>0</v>
      </c>
      <c r="P551">
        <v>5</v>
      </c>
      <c r="Q551">
        <f>N551-K551</f>
        <v>1</v>
      </c>
      <c r="R551">
        <f>O551-L551</f>
        <v>0</v>
      </c>
      <c r="S551">
        <f>P551-M551</f>
        <v>1</v>
      </c>
      <c r="T551">
        <v>3</v>
      </c>
      <c r="U551" s="14">
        <v>18564.830000000002</v>
      </c>
      <c r="V551" s="14">
        <v>443</v>
      </c>
      <c r="W551" s="16">
        <v>6.0003161684583983E-5</v>
      </c>
      <c r="X551" s="16">
        <v>8.0228624414131831E-4</v>
      </c>
    </row>
    <row r="552" spans="1:24" x14ac:dyDescent="0.2">
      <c r="A552" t="s">
        <v>16</v>
      </c>
      <c r="B552" t="s">
        <v>22</v>
      </c>
      <c r="C552" t="s">
        <v>40</v>
      </c>
      <c r="D552" t="s">
        <v>107</v>
      </c>
      <c r="E552" t="s">
        <v>475</v>
      </c>
      <c r="F552" t="s">
        <v>1059</v>
      </c>
      <c r="H552" t="s">
        <v>1670</v>
      </c>
      <c r="I552" t="s">
        <v>1670</v>
      </c>
      <c r="J552" t="s">
        <v>1674</v>
      </c>
      <c r="K552">
        <v>4</v>
      </c>
      <c r="L552">
        <v>0</v>
      </c>
      <c r="M552">
        <v>4</v>
      </c>
      <c r="N552">
        <v>5</v>
      </c>
      <c r="O552">
        <v>0</v>
      </c>
      <c r="P552">
        <v>5</v>
      </c>
      <c r="Q552">
        <f>N552-K552</f>
        <v>1</v>
      </c>
      <c r="R552">
        <f>O552-L552</f>
        <v>0</v>
      </c>
      <c r="S552">
        <f>P552-M552</f>
        <v>1</v>
      </c>
      <c r="T552">
        <v>18</v>
      </c>
      <c r="U552" s="14">
        <v>18466.260000000002</v>
      </c>
      <c r="V552" s="14">
        <v>101</v>
      </c>
      <c r="W552" s="16">
        <v>5.9684574784124918E-5</v>
      </c>
      <c r="X552" s="16">
        <v>1.8291401954463463E-4</v>
      </c>
    </row>
    <row r="553" spans="1:24" x14ac:dyDescent="0.2">
      <c r="A553" t="s">
        <v>16</v>
      </c>
      <c r="B553" t="s">
        <v>22</v>
      </c>
      <c r="C553" t="s">
        <v>39</v>
      </c>
      <c r="D553" t="s">
        <v>156</v>
      </c>
      <c r="E553" t="s">
        <v>437</v>
      </c>
      <c r="F553" t="s">
        <v>1000</v>
      </c>
      <c r="H553" t="s">
        <v>1670</v>
      </c>
      <c r="I553" t="s">
        <v>1670</v>
      </c>
      <c r="J553" t="s">
        <v>1674</v>
      </c>
      <c r="K553">
        <v>1</v>
      </c>
      <c r="L553">
        <v>0</v>
      </c>
      <c r="M553">
        <v>1</v>
      </c>
      <c r="N553">
        <v>3</v>
      </c>
      <c r="O553">
        <v>0</v>
      </c>
      <c r="P553">
        <v>3</v>
      </c>
      <c r="Q553">
        <f>N553-K553</f>
        <v>2</v>
      </c>
      <c r="R553">
        <f>O553-L553</f>
        <v>0</v>
      </c>
      <c r="S553">
        <f>P553-M553</f>
        <v>2</v>
      </c>
      <c r="T553">
        <v>4</v>
      </c>
      <c r="U553" s="14">
        <v>17175.71</v>
      </c>
      <c r="V553" s="14">
        <v>58</v>
      </c>
      <c r="W553" s="16">
        <v>5.5513403795107515E-5</v>
      </c>
      <c r="X553" s="16">
        <v>1.0503973399592881E-4</v>
      </c>
    </row>
    <row r="554" spans="1:24" x14ac:dyDescent="0.2">
      <c r="A554" t="s">
        <v>16</v>
      </c>
      <c r="B554" t="s">
        <v>22</v>
      </c>
      <c r="C554" t="s">
        <v>39</v>
      </c>
      <c r="D554" t="s">
        <v>106</v>
      </c>
      <c r="E554" t="s">
        <v>454</v>
      </c>
      <c r="F554" t="s">
        <v>454</v>
      </c>
      <c r="H554" t="s">
        <v>1670</v>
      </c>
      <c r="I554" t="s">
        <v>1670</v>
      </c>
      <c r="J554" t="s">
        <v>1674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f>N554-K554</f>
        <v>-1</v>
      </c>
      <c r="R554">
        <f>O554-L554</f>
        <v>0</v>
      </c>
      <c r="S554">
        <f>P554-M554</f>
        <v>-1</v>
      </c>
      <c r="T554">
        <v>4</v>
      </c>
      <c r="U554" s="14">
        <v>16940.97</v>
      </c>
      <c r="V554" s="14">
        <v>52</v>
      </c>
      <c r="W554" s="16">
        <v>5.475470349061568E-5</v>
      </c>
      <c r="X554" s="16">
        <v>9.4173554617039612E-5</v>
      </c>
    </row>
    <row r="555" spans="1:24" x14ac:dyDescent="0.2">
      <c r="A555" t="s">
        <v>16</v>
      </c>
      <c r="B555" t="s">
        <v>22</v>
      </c>
      <c r="C555" t="s">
        <v>39</v>
      </c>
      <c r="D555" t="s">
        <v>106</v>
      </c>
      <c r="E555" t="s">
        <v>649</v>
      </c>
      <c r="F555" t="s">
        <v>649</v>
      </c>
      <c r="H555" t="s">
        <v>1670</v>
      </c>
      <c r="I555" t="s">
        <v>1670</v>
      </c>
      <c r="J555" t="s">
        <v>1674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f>N555-K555</f>
        <v>0</v>
      </c>
      <c r="R555">
        <f>O555-L555</f>
        <v>0</v>
      </c>
      <c r="S555">
        <f>P555-M555</f>
        <v>0</v>
      </c>
      <c r="T555">
        <v>7</v>
      </c>
      <c r="U555" s="14">
        <v>16643.45</v>
      </c>
      <c r="V555" s="14">
        <v>22</v>
      </c>
      <c r="W555" s="16">
        <v>5.3793092710210072E-5</v>
      </c>
      <c r="X555" s="16">
        <v>3.9842657722593683E-5</v>
      </c>
    </row>
    <row r="556" spans="1:24" x14ac:dyDescent="0.2">
      <c r="A556" t="s">
        <v>12</v>
      </c>
      <c r="B556" s="35" t="s">
        <v>19</v>
      </c>
      <c r="C556" t="s">
        <v>28</v>
      </c>
      <c r="D556" t="s">
        <v>72</v>
      </c>
      <c r="E556" t="s">
        <v>265</v>
      </c>
      <c r="F556" t="s">
        <v>719</v>
      </c>
      <c r="H556" t="s">
        <v>1670</v>
      </c>
      <c r="I556" t="s">
        <v>1670</v>
      </c>
      <c r="J556" t="s">
        <v>1674</v>
      </c>
      <c r="K556">
        <v>13</v>
      </c>
      <c r="L556">
        <v>0</v>
      </c>
      <c r="M556">
        <v>13</v>
      </c>
      <c r="N556">
        <v>13</v>
      </c>
      <c r="O556">
        <v>0</v>
      </c>
      <c r="P556">
        <v>13</v>
      </c>
      <c r="Q556">
        <f>N556-K556</f>
        <v>0</v>
      </c>
      <c r="R556">
        <f>O556-L556</f>
        <v>0</v>
      </c>
      <c r="S556">
        <f>P556-M556</f>
        <v>0</v>
      </c>
      <c r="T556">
        <v>14</v>
      </c>
      <c r="U556" s="14">
        <v>16506.02</v>
      </c>
      <c r="V556" s="14">
        <v>88</v>
      </c>
      <c r="W556" s="16">
        <v>5.3348906875472434E-5</v>
      </c>
      <c r="X556" s="16">
        <v>1.5937063089037473E-4</v>
      </c>
    </row>
    <row r="557" spans="1:24" x14ac:dyDescent="0.2">
      <c r="A557" t="s">
        <v>16</v>
      </c>
      <c r="B557" t="s">
        <v>22</v>
      </c>
      <c r="C557" t="s">
        <v>39</v>
      </c>
      <c r="D557" t="s">
        <v>163</v>
      </c>
      <c r="E557" t="s">
        <v>598</v>
      </c>
      <c r="F557" t="s">
        <v>1380</v>
      </c>
      <c r="H557" t="s">
        <v>1670</v>
      </c>
      <c r="I557" t="s">
        <v>1670</v>
      </c>
      <c r="J557" t="s">
        <v>1674</v>
      </c>
      <c r="K557">
        <v>0</v>
      </c>
      <c r="L557">
        <v>0</v>
      </c>
      <c r="M557">
        <v>0</v>
      </c>
      <c r="N557">
        <v>3</v>
      </c>
      <c r="O557">
        <v>0</v>
      </c>
      <c r="P557">
        <v>3</v>
      </c>
      <c r="Q557">
        <f>N557-K557</f>
        <v>3</v>
      </c>
      <c r="R557">
        <f>O557-L557</f>
        <v>0</v>
      </c>
      <c r="S557">
        <f>P557-M557</f>
        <v>3</v>
      </c>
      <c r="T557">
        <v>11</v>
      </c>
      <c r="U557" s="14">
        <v>16212.849999999999</v>
      </c>
      <c r="V557" s="14">
        <v>49</v>
      </c>
      <c r="W557" s="16">
        <v>5.2401355677262181E-5</v>
      </c>
      <c r="X557" s="16">
        <v>8.874046492759502E-5</v>
      </c>
    </row>
    <row r="558" spans="1:24" x14ac:dyDescent="0.2">
      <c r="A558" t="s">
        <v>13</v>
      </c>
      <c r="B558" t="s">
        <v>22</v>
      </c>
      <c r="C558" t="s">
        <v>37</v>
      </c>
      <c r="D558" t="s">
        <v>97</v>
      </c>
      <c r="E558" t="s">
        <v>328</v>
      </c>
      <c r="F558" t="s">
        <v>328</v>
      </c>
      <c r="H558" t="s">
        <v>1670</v>
      </c>
      <c r="I558" t="s">
        <v>1670</v>
      </c>
      <c r="J558" t="s">
        <v>1674</v>
      </c>
      <c r="K558">
        <v>1</v>
      </c>
      <c r="L558">
        <v>0</v>
      </c>
      <c r="M558">
        <v>1</v>
      </c>
      <c r="N558">
        <v>5</v>
      </c>
      <c r="O558">
        <v>0</v>
      </c>
      <c r="P558">
        <v>5</v>
      </c>
      <c r="Q558">
        <f>N558-K558</f>
        <v>4</v>
      </c>
      <c r="R558">
        <f>O558-L558</f>
        <v>0</v>
      </c>
      <c r="S558">
        <f>P558-M558</f>
        <v>4</v>
      </c>
      <c r="T558">
        <v>21</v>
      </c>
      <c r="U558" s="14">
        <v>15319.6</v>
      </c>
      <c r="V558" s="14">
        <v>136</v>
      </c>
      <c r="W558" s="16">
        <v>4.9514293195421271E-5</v>
      </c>
      <c r="X558" s="16">
        <v>2.4630006592148824E-4</v>
      </c>
    </row>
    <row r="559" spans="1:24" x14ac:dyDescent="0.2">
      <c r="A559" t="s">
        <v>13</v>
      </c>
      <c r="B559" t="s">
        <v>21</v>
      </c>
      <c r="C559" t="s">
        <v>35</v>
      </c>
      <c r="D559" t="s">
        <v>95</v>
      </c>
      <c r="E559" t="s">
        <v>324</v>
      </c>
      <c r="F559" t="s">
        <v>1426</v>
      </c>
      <c r="H559" t="s">
        <v>1669</v>
      </c>
      <c r="I559" t="s">
        <v>1672</v>
      </c>
      <c r="J559" t="s">
        <v>1674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f>N559-K559</f>
        <v>0</v>
      </c>
      <c r="R559">
        <f>O559-L559</f>
        <v>0</v>
      </c>
      <c r="S559">
        <f>P559-M559</f>
        <v>0</v>
      </c>
      <c r="T559">
        <v>0</v>
      </c>
      <c r="U559" s="14">
        <v>0</v>
      </c>
      <c r="V559" s="14">
        <v>0</v>
      </c>
      <c r="W559" s="16">
        <v>0</v>
      </c>
      <c r="X559" s="16">
        <v>0</v>
      </c>
    </row>
    <row r="560" spans="1:24" x14ac:dyDescent="0.2">
      <c r="A560" t="s">
        <v>13</v>
      </c>
      <c r="B560" t="s">
        <v>21</v>
      </c>
      <c r="C560" t="s">
        <v>35</v>
      </c>
      <c r="D560" t="s">
        <v>198</v>
      </c>
      <c r="E560" t="s">
        <v>625</v>
      </c>
      <c r="F560" t="s">
        <v>1427</v>
      </c>
      <c r="H560" t="s">
        <v>1669</v>
      </c>
      <c r="I560" t="s">
        <v>1672</v>
      </c>
      <c r="J560" t="s">
        <v>1673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f>N560-K560</f>
        <v>0</v>
      </c>
      <c r="R560">
        <f>O560-L560</f>
        <v>0</v>
      </c>
      <c r="S560">
        <f>P560-M560</f>
        <v>0</v>
      </c>
      <c r="T560">
        <v>0</v>
      </c>
      <c r="U560" s="14">
        <v>0</v>
      </c>
      <c r="V560" s="14">
        <v>0</v>
      </c>
      <c r="W560" s="16">
        <v>0</v>
      </c>
      <c r="X560" s="16">
        <v>0</v>
      </c>
    </row>
    <row r="561" spans="1:24" x14ac:dyDescent="0.2">
      <c r="A561" t="s">
        <v>13</v>
      </c>
      <c r="B561" t="s">
        <v>22</v>
      </c>
      <c r="C561" t="s">
        <v>46</v>
      </c>
      <c r="D561" t="s">
        <v>122</v>
      </c>
      <c r="E561" t="s">
        <v>365</v>
      </c>
      <c r="F561" t="s">
        <v>1470</v>
      </c>
      <c r="H561" t="s">
        <v>1670</v>
      </c>
      <c r="I561" t="s">
        <v>1672</v>
      </c>
      <c r="J561" t="s">
        <v>1674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f>N561-K561</f>
        <v>0</v>
      </c>
      <c r="R561">
        <f>O561-L561</f>
        <v>0</v>
      </c>
      <c r="S561">
        <f>P561-M561</f>
        <v>0</v>
      </c>
      <c r="T561">
        <v>3</v>
      </c>
      <c r="U561" s="14">
        <v>15174.16</v>
      </c>
      <c r="V561" s="14">
        <v>41</v>
      </c>
      <c r="W561" s="16">
        <v>4.9044218336917E-5</v>
      </c>
      <c r="X561" s="16">
        <v>7.4252225755742774E-5</v>
      </c>
    </row>
    <row r="562" spans="1:24" x14ac:dyDescent="0.2">
      <c r="A562" t="s">
        <v>16</v>
      </c>
      <c r="B562" t="s">
        <v>22</v>
      </c>
      <c r="C562" t="s">
        <v>39</v>
      </c>
      <c r="D562" t="s">
        <v>59</v>
      </c>
      <c r="E562" t="s">
        <v>595</v>
      </c>
      <c r="F562" t="s">
        <v>1350</v>
      </c>
      <c r="H562" t="s">
        <v>1670</v>
      </c>
      <c r="I562" t="s">
        <v>1670</v>
      </c>
      <c r="J562" t="s">
        <v>1674</v>
      </c>
      <c r="K562">
        <v>0</v>
      </c>
      <c r="L562">
        <v>0</v>
      </c>
      <c r="M562">
        <v>0</v>
      </c>
      <c r="N562">
        <v>3</v>
      </c>
      <c r="O562">
        <v>0</v>
      </c>
      <c r="P562">
        <v>3</v>
      </c>
      <c r="Q562">
        <f>N562-K562</f>
        <v>3</v>
      </c>
      <c r="R562">
        <f>O562-L562</f>
        <v>0</v>
      </c>
      <c r="S562">
        <f>P562-M562</f>
        <v>3</v>
      </c>
      <c r="T562">
        <v>2</v>
      </c>
      <c r="U562" s="14">
        <v>15046</v>
      </c>
      <c r="V562" s="14">
        <v>43</v>
      </c>
      <c r="W562" s="16">
        <v>4.8629993956650857E-5</v>
      </c>
      <c r="X562" s="16">
        <v>7.7874285548705836E-5</v>
      </c>
    </row>
    <row r="563" spans="1:24" x14ac:dyDescent="0.2">
      <c r="A563" t="s">
        <v>14</v>
      </c>
      <c r="B563" s="35" t="s">
        <v>19</v>
      </c>
      <c r="C563" t="s">
        <v>48</v>
      </c>
      <c r="D563" t="s">
        <v>129</v>
      </c>
      <c r="E563" t="s">
        <v>370</v>
      </c>
      <c r="F563" t="s">
        <v>886</v>
      </c>
      <c r="H563" t="s">
        <v>1670</v>
      </c>
      <c r="I563" t="s">
        <v>1670</v>
      </c>
      <c r="J563" t="s">
        <v>1674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1</v>
      </c>
      <c r="Q563">
        <f>N563-K563</f>
        <v>0</v>
      </c>
      <c r="R563">
        <f>O563-L563</f>
        <v>0</v>
      </c>
      <c r="S563">
        <f>P563-M563</f>
        <v>0</v>
      </c>
      <c r="T563">
        <v>5</v>
      </c>
      <c r="U563" s="14">
        <v>14615.87</v>
      </c>
      <c r="V563" s="14">
        <v>133</v>
      </c>
      <c r="W563" s="16">
        <v>4.7239776004997646E-5</v>
      </c>
      <c r="X563" s="16">
        <v>2.4086697623204364E-4</v>
      </c>
    </row>
    <row r="564" spans="1:24" x14ac:dyDescent="0.2">
      <c r="A564" t="s">
        <v>13</v>
      </c>
      <c r="B564" t="s">
        <v>22</v>
      </c>
      <c r="C564" t="s">
        <v>37</v>
      </c>
      <c r="D564" t="s">
        <v>97</v>
      </c>
      <c r="E564" t="s">
        <v>656</v>
      </c>
      <c r="F564" t="s">
        <v>656</v>
      </c>
      <c r="H564" t="s">
        <v>1670</v>
      </c>
      <c r="I564" t="s">
        <v>1670</v>
      </c>
      <c r="J564" t="s">
        <v>1674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f>N564-K564</f>
        <v>0</v>
      </c>
      <c r="R564">
        <f>O564-L564</f>
        <v>0</v>
      </c>
      <c r="S564">
        <f>P564-M564</f>
        <v>0</v>
      </c>
      <c r="T564">
        <v>6</v>
      </c>
      <c r="U564" s="14">
        <v>14277.71</v>
      </c>
      <c r="V564" s="14">
        <v>30</v>
      </c>
      <c r="W564" s="16">
        <v>4.6146813173920874E-5</v>
      </c>
      <c r="X564" s="16">
        <v>5.4330896894445936E-5</v>
      </c>
    </row>
    <row r="565" spans="1:24" x14ac:dyDescent="0.2">
      <c r="A565" t="s">
        <v>16</v>
      </c>
      <c r="B565" t="s">
        <v>22</v>
      </c>
      <c r="C565" t="s">
        <v>39</v>
      </c>
      <c r="D565" t="s">
        <v>156</v>
      </c>
      <c r="E565" t="s">
        <v>435</v>
      </c>
      <c r="F565" t="s">
        <v>1491</v>
      </c>
      <c r="H565" t="s">
        <v>1670</v>
      </c>
      <c r="I565" t="s">
        <v>1670</v>
      </c>
      <c r="J565" t="s">
        <v>1674</v>
      </c>
      <c r="K565">
        <v>0</v>
      </c>
      <c r="L565">
        <v>0</v>
      </c>
      <c r="M565">
        <v>0</v>
      </c>
      <c r="N565">
        <v>2</v>
      </c>
      <c r="O565">
        <v>0</v>
      </c>
      <c r="P565">
        <v>2</v>
      </c>
      <c r="Q565">
        <f>N565-K565</f>
        <v>2</v>
      </c>
      <c r="R565">
        <f>O565-L565</f>
        <v>0</v>
      </c>
      <c r="S565">
        <f>P565-M565</f>
        <v>2</v>
      </c>
      <c r="T565">
        <v>10</v>
      </c>
      <c r="U565" s="14">
        <v>14135.79</v>
      </c>
      <c r="V565" s="14">
        <v>42</v>
      </c>
      <c r="W565" s="16">
        <v>4.5688115264687335E-5</v>
      </c>
      <c r="X565" s="16">
        <v>7.6063255652224305E-5</v>
      </c>
    </row>
    <row r="566" spans="1:24" x14ac:dyDescent="0.2">
      <c r="A566" t="s">
        <v>17</v>
      </c>
      <c r="B566" t="s">
        <v>23</v>
      </c>
      <c r="C566" t="s">
        <v>61</v>
      </c>
      <c r="D566" t="s">
        <v>215</v>
      </c>
      <c r="E566" t="s">
        <v>215</v>
      </c>
      <c r="F566" t="s">
        <v>1445</v>
      </c>
      <c r="H566" t="s">
        <v>1669</v>
      </c>
      <c r="I566" t="s">
        <v>1672</v>
      </c>
      <c r="J566" t="s">
        <v>1674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f>N566-K566</f>
        <v>0</v>
      </c>
      <c r="R566">
        <f>O566-L566</f>
        <v>0</v>
      </c>
      <c r="S566">
        <f>P566-M566</f>
        <v>0</v>
      </c>
      <c r="T566">
        <v>19</v>
      </c>
      <c r="U566" s="14">
        <v>34881.51</v>
      </c>
      <c r="V566" s="14">
        <v>79</v>
      </c>
      <c r="W566" s="16">
        <v>1.1274010504445411E-4</v>
      </c>
      <c r="X566" s="16">
        <v>1.4307136182204096E-4</v>
      </c>
    </row>
    <row r="567" spans="1:24" x14ac:dyDescent="0.2">
      <c r="A567" t="s">
        <v>16</v>
      </c>
      <c r="B567" t="s">
        <v>22</v>
      </c>
      <c r="C567" t="s">
        <v>39</v>
      </c>
      <c r="D567" t="s">
        <v>166</v>
      </c>
      <c r="E567" t="s">
        <v>646</v>
      </c>
      <c r="F567" t="s">
        <v>1510</v>
      </c>
      <c r="H567" t="s">
        <v>1670</v>
      </c>
      <c r="I567" t="s">
        <v>1670</v>
      </c>
      <c r="J567" t="s">
        <v>1673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2</v>
      </c>
      <c r="Q567">
        <f>N567-K567</f>
        <v>2</v>
      </c>
      <c r="R567">
        <f>O567-L567</f>
        <v>0</v>
      </c>
      <c r="S567">
        <f>P567-M567</f>
        <v>2</v>
      </c>
      <c r="T567">
        <v>10</v>
      </c>
      <c r="U567" s="14">
        <v>13902.58</v>
      </c>
      <c r="V567" s="14">
        <v>24</v>
      </c>
      <c r="W567" s="16">
        <v>4.4934360054622829E-5</v>
      </c>
      <c r="X567" s="16">
        <v>4.3464717515556745E-5</v>
      </c>
    </row>
    <row r="568" spans="1:24" x14ac:dyDescent="0.2">
      <c r="A568" t="s">
        <v>13</v>
      </c>
      <c r="B568" t="s">
        <v>21</v>
      </c>
      <c r="C568" t="s">
        <v>35</v>
      </c>
      <c r="D568" t="s">
        <v>216</v>
      </c>
      <c r="E568" t="s">
        <v>632</v>
      </c>
      <c r="F568" t="s">
        <v>1448</v>
      </c>
      <c r="H568" t="s">
        <v>1669</v>
      </c>
      <c r="I568" t="s">
        <v>1672</v>
      </c>
      <c r="J568" t="s">
        <v>1674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f>N568-K568</f>
        <v>0</v>
      </c>
      <c r="R568">
        <f>O568-L568</f>
        <v>0</v>
      </c>
      <c r="S568">
        <f>P568-M568</f>
        <v>0</v>
      </c>
      <c r="T568">
        <v>26</v>
      </c>
      <c r="U568" s="14">
        <v>26299.149999999994</v>
      </c>
      <c r="V568" s="14">
        <v>66</v>
      </c>
      <c r="W568" s="16">
        <v>8.5001163469696541E-5</v>
      </c>
      <c r="X568" s="16">
        <v>1.1952797316778106E-4</v>
      </c>
    </row>
    <row r="569" spans="1:24" x14ac:dyDescent="0.2">
      <c r="A569" t="s">
        <v>13</v>
      </c>
      <c r="B569" t="s">
        <v>21</v>
      </c>
      <c r="C569" t="s">
        <v>35</v>
      </c>
      <c r="D569" t="s">
        <v>206</v>
      </c>
      <c r="E569" t="s">
        <v>604</v>
      </c>
      <c r="F569" t="s">
        <v>1449</v>
      </c>
      <c r="G569" t="s">
        <v>1719</v>
      </c>
      <c r="H569" t="s">
        <v>1669</v>
      </c>
      <c r="I569" t="s">
        <v>1672</v>
      </c>
      <c r="J569" t="s">
        <v>1674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f>N569-K569</f>
        <v>0</v>
      </c>
      <c r="R569">
        <f>O569-L569</f>
        <v>0</v>
      </c>
      <c r="S569">
        <f>P569-M569</f>
        <v>0</v>
      </c>
      <c r="T569">
        <v>2</v>
      </c>
      <c r="U569" s="14">
        <v>1958</v>
      </c>
      <c r="V569" s="14">
        <v>3</v>
      </c>
      <c r="W569" s="16">
        <v>6.3284280318438371E-6</v>
      </c>
      <c r="X569" s="16">
        <v>5.4330896894445931E-6</v>
      </c>
    </row>
    <row r="570" spans="1:24" x14ac:dyDescent="0.2">
      <c r="A570" t="s">
        <v>16</v>
      </c>
      <c r="B570" t="s">
        <v>22</v>
      </c>
      <c r="C570" t="s">
        <v>39</v>
      </c>
      <c r="D570" t="s">
        <v>163</v>
      </c>
      <c r="E570" t="s">
        <v>458</v>
      </c>
      <c r="F570" t="s">
        <v>1490</v>
      </c>
      <c r="H570" t="s">
        <v>1670</v>
      </c>
      <c r="I570" t="s">
        <v>1670</v>
      </c>
      <c r="J570" t="s">
        <v>1674</v>
      </c>
      <c r="K570">
        <v>0</v>
      </c>
      <c r="L570">
        <v>0</v>
      </c>
      <c r="M570">
        <v>0</v>
      </c>
      <c r="N570">
        <v>5</v>
      </c>
      <c r="O570">
        <v>0</v>
      </c>
      <c r="P570">
        <v>5</v>
      </c>
      <c r="Q570">
        <f>N570-K570</f>
        <v>5</v>
      </c>
      <c r="R570">
        <f>O570-L570</f>
        <v>0</v>
      </c>
      <c r="S570">
        <f>P570-M570</f>
        <v>5</v>
      </c>
      <c r="T570">
        <v>10</v>
      </c>
      <c r="U570" s="14">
        <v>13371.66</v>
      </c>
      <c r="V570" s="14">
        <v>33</v>
      </c>
      <c r="W570" s="16">
        <v>4.3218379967459127E-5</v>
      </c>
      <c r="X570" s="16">
        <v>5.9763986583890528E-5</v>
      </c>
    </row>
    <row r="571" spans="1:24" x14ac:dyDescent="0.2">
      <c r="A571" t="s">
        <v>16</v>
      </c>
      <c r="B571" t="s">
        <v>22</v>
      </c>
      <c r="C571" t="s">
        <v>39</v>
      </c>
      <c r="D571" t="s">
        <v>163</v>
      </c>
      <c r="E571" t="s">
        <v>457</v>
      </c>
      <c r="F571" t="s">
        <v>1037</v>
      </c>
      <c r="H571" t="s">
        <v>1670</v>
      </c>
      <c r="I571" t="s">
        <v>1670</v>
      </c>
      <c r="J571" t="s">
        <v>1674</v>
      </c>
      <c r="K571">
        <v>1</v>
      </c>
      <c r="L571">
        <v>0</v>
      </c>
      <c r="M571">
        <v>1</v>
      </c>
      <c r="N571">
        <v>2</v>
      </c>
      <c r="O571">
        <v>0</v>
      </c>
      <c r="P571">
        <v>2</v>
      </c>
      <c r="Q571">
        <f>N571-K571</f>
        <v>1</v>
      </c>
      <c r="R571">
        <f>O571-L571</f>
        <v>0</v>
      </c>
      <c r="S571">
        <f>P571-M571</f>
        <v>1</v>
      </c>
      <c r="T571">
        <v>1</v>
      </c>
      <c r="U571" s="14">
        <v>13064</v>
      </c>
      <c r="V571" s="14">
        <v>38</v>
      </c>
      <c r="W571" s="16">
        <v>4.2223995816142951E-5</v>
      </c>
      <c r="X571" s="16">
        <v>6.8819136066298182E-5</v>
      </c>
    </row>
    <row r="572" spans="1:24" x14ac:dyDescent="0.2">
      <c r="A572" t="s">
        <v>16</v>
      </c>
      <c r="B572" t="s">
        <v>22</v>
      </c>
      <c r="C572" t="s">
        <v>39</v>
      </c>
      <c r="D572" t="s">
        <v>159</v>
      </c>
      <c r="E572" t="s">
        <v>447</v>
      </c>
      <c r="F572" t="s">
        <v>1475</v>
      </c>
      <c r="H572" t="s">
        <v>1670</v>
      </c>
      <c r="I572" t="s">
        <v>1670</v>
      </c>
      <c r="J572" t="s">
        <v>1673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</v>
      </c>
      <c r="Q572">
        <f>N572-K572</f>
        <v>1</v>
      </c>
      <c r="R572">
        <f>O572-L572</f>
        <v>0</v>
      </c>
      <c r="S572">
        <f>P572-M572</f>
        <v>1</v>
      </c>
      <c r="T572">
        <v>6</v>
      </c>
      <c r="U572" s="14">
        <v>12647</v>
      </c>
      <c r="V572" s="14">
        <v>14</v>
      </c>
      <c r="W572" s="16">
        <v>4.0876215178104704E-5</v>
      </c>
      <c r="X572" s="16">
        <v>2.5354418550741437E-5</v>
      </c>
    </row>
    <row r="573" spans="1:24" x14ac:dyDescent="0.2">
      <c r="A573" t="s">
        <v>13</v>
      </c>
      <c r="B573" t="s">
        <v>21</v>
      </c>
      <c r="C573" t="s">
        <v>35</v>
      </c>
      <c r="D573" t="s">
        <v>95</v>
      </c>
      <c r="E573" t="s">
        <v>324</v>
      </c>
      <c r="F573" t="s">
        <v>1455</v>
      </c>
      <c r="H573" t="s">
        <v>1669</v>
      </c>
      <c r="I573" t="s">
        <v>1672</v>
      </c>
      <c r="J573" t="s">
        <v>1674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f>N573-K573</f>
        <v>0</v>
      </c>
      <c r="R573">
        <f>O573-L573</f>
        <v>0</v>
      </c>
      <c r="S573">
        <f>P573-M573</f>
        <v>0</v>
      </c>
      <c r="T573">
        <v>18</v>
      </c>
      <c r="U573" s="14">
        <v>176595.93000000002</v>
      </c>
      <c r="V573" s="14">
        <v>126</v>
      </c>
      <c r="W573" s="16">
        <v>5.7077356165553231E-4</v>
      </c>
      <c r="X573" s="16">
        <v>2.2818976695667293E-4</v>
      </c>
    </row>
    <row r="574" spans="1:24" x14ac:dyDescent="0.2">
      <c r="A574" t="s">
        <v>14</v>
      </c>
      <c r="B574" t="s">
        <v>24</v>
      </c>
      <c r="C574" t="s">
        <v>49</v>
      </c>
      <c r="D574" t="s">
        <v>133</v>
      </c>
      <c r="E574" t="s">
        <v>377</v>
      </c>
      <c r="F574" t="s">
        <v>897</v>
      </c>
      <c r="H574" t="s">
        <v>1670</v>
      </c>
      <c r="I574" t="s">
        <v>1670</v>
      </c>
      <c r="J574" t="s">
        <v>1674</v>
      </c>
      <c r="K574">
        <v>2</v>
      </c>
      <c r="L574">
        <v>0</v>
      </c>
      <c r="M574">
        <v>2</v>
      </c>
      <c r="N574">
        <v>3</v>
      </c>
      <c r="O574">
        <v>0</v>
      </c>
      <c r="P574">
        <v>3</v>
      </c>
      <c r="Q574">
        <f>N574-K574</f>
        <v>1</v>
      </c>
      <c r="R574">
        <f>O574-L574</f>
        <v>0</v>
      </c>
      <c r="S574">
        <f>P574-M574</f>
        <v>1</v>
      </c>
      <c r="T574">
        <v>6</v>
      </c>
      <c r="U574" s="14">
        <v>12487</v>
      </c>
      <c r="V574" s="14">
        <v>18</v>
      </c>
      <c r="W574" s="16">
        <v>4.0359081120344225E-5</v>
      </c>
      <c r="X574" s="16">
        <v>3.259853813666756E-5</v>
      </c>
    </row>
    <row r="575" spans="1:24" x14ac:dyDescent="0.2">
      <c r="A575" t="s">
        <v>16</v>
      </c>
      <c r="B575" t="s">
        <v>22</v>
      </c>
      <c r="C575" t="s">
        <v>46</v>
      </c>
      <c r="D575" t="s">
        <v>211</v>
      </c>
      <c r="E575" t="s">
        <v>626</v>
      </c>
      <c r="F575" t="s">
        <v>1429</v>
      </c>
      <c r="G575" t="s">
        <v>1719</v>
      </c>
      <c r="H575" t="s">
        <v>1670</v>
      </c>
      <c r="I575" t="s">
        <v>1672</v>
      </c>
      <c r="J575" t="s">
        <v>1674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f>N575-K575</f>
        <v>0</v>
      </c>
      <c r="R575">
        <f>O575-L575</f>
        <v>0</v>
      </c>
      <c r="S575">
        <f>P575-M575</f>
        <v>0</v>
      </c>
      <c r="T575">
        <v>14</v>
      </c>
      <c r="U575" s="14">
        <v>12284.85</v>
      </c>
      <c r="V575" s="14">
        <v>80</v>
      </c>
      <c r="W575" s="16">
        <v>3.9705714559242478E-5</v>
      </c>
      <c r="X575" s="16">
        <v>1.4488239171852249E-4</v>
      </c>
    </row>
    <row r="576" spans="1:24" x14ac:dyDescent="0.2">
      <c r="A576" t="s">
        <v>14</v>
      </c>
      <c r="B576" s="36" t="s">
        <v>19</v>
      </c>
      <c r="C576" s="2" t="s">
        <v>48</v>
      </c>
      <c r="D576" s="2" t="s">
        <v>132</v>
      </c>
      <c r="E576" s="2" t="s">
        <v>558</v>
      </c>
      <c r="F576" s="2" t="s">
        <v>1678</v>
      </c>
      <c r="G576" s="2"/>
      <c r="H576" s="3">
        <v>0</v>
      </c>
      <c r="I576" s="3">
        <v>0</v>
      </c>
      <c r="J576" t="s">
        <v>1674</v>
      </c>
      <c r="K576">
        <v>1</v>
      </c>
      <c r="L576">
        <v>0</v>
      </c>
      <c r="M576">
        <v>1</v>
      </c>
      <c r="N576">
        <v>1</v>
      </c>
      <c r="O576">
        <v>0</v>
      </c>
      <c r="P576">
        <v>1</v>
      </c>
      <c r="Q576">
        <f>N576-K576</f>
        <v>0</v>
      </c>
      <c r="R576">
        <f>O576-L576</f>
        <v>0</v>
      </c>
      <c r="S576">
        <f>P576-M576</f>
        <v>0</v>
      </c>
      <c r="T576">
        <v>4</v>
      </c>
      <c r="U576" s="14">
        <v>12059</v>
      </c>
      <c r="V576" s="14">
        <v>32</v>
      </c>
      <c r="W576" s="16">
        <v>3.8975747515834949E-5</v>
      </c>
      <c r="X576" s="16">
        <v>5.7952956687408997E-5</v>
      </c>
    </row>
    <row r="577" spans="1:24" x14ac:dyDescent="0.2">
      <c r="A577" t="s">
        <v>13</v>
      </c>
      <c r="B577" t="s">
        <v>22</v>
      </c>
      <c r="C577" t="s">
        <v>37</v>
      </c>
      <c r="D577" t="s">
        <v>219</v>
      </c>
      <c r="E577" t="s">
        <v>638</v>
      </c>
      <c r="F577" t="s">
        <v>638</v>
      </c>
      <c r="H577" t="s">
        <v>1670</v>
      </c>
      <c r="I577" t="s">
        <v>1670</v>
      </c>
      <c r="J577" t="s">
        <v>1674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f>N577-K577</f>
        <v>0</v>
      </c>
      <c r="R577">
        <f>O577-L577</f>
        <v>0</v>
      </c>
      <c r="S577">
        <f>P577-M577</f>
        <v>0</v>
      </c>
      <c r="T577">
        <v>12</v>
      </c>
      <c r="U577" s="14">
        <v>11965</v>
      </c>
      <c r="V577" s="14">
        <v>26</v>
      </c>
      <c r="W577" s="16">
        <v>3.8671931256900671E-5</v>
      </c>
      <c r="X577" s="16">
        <v>4.7086777308519806E-5</v>
      </c>
    </row>
    <row r="578" spans="1:24" x14ac:dyDescent="0.2">
      <c r="A578" t="s">
        <v>13</v>
      </c>
      <c r="B578" t="s">
        <v>22</v>
      </c>
      <c r="C578" t="s">
        <v>37</v>
      </c>
      <c r="D578" t="s">
        <v>99</v>
      </c>
      <c r="E578" t="s">
        <v>332</v>
      </c>
      <c r="F578" t="s">
        <v>332</v>
      </c>
      <c r="H578" t="s">
        <v>1670</v>
      </c>
      <c r="I578" t="s">
        <v>1670</v>
      </c>
      <c r="J578" t="s">
        <v>1673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f>N578-K578</f>
        <v>0</v>
      </c>
      <c r="R578">
        <f>O578-L578</f>
        <v>0</v>
      </c>
      <c r="S578">
        <f>P578-M578</f>
        <v>0</v>
      </c>
      <c r="T578">
        <v>7</v>
      </c>
      <c r="U578" s="14">
        <v>11460</v>
      </c>
      <c r="V578" s="14">
        <v>8</v>
      </c>
      <c r="W578" s="16">
        <v>3.7039726887094165E-5</v>
      </c>
      <c r="X578" s="16">
        <v>1.4488239171852249E-5</v>
      </c>
    </row>
    <row r="579" spans="1:24" x14ac:dyDescent="0.2">
      <c r="A579" t="s">
        <v>14</v>
      </c>
      <c r="B579" s="35" t="s">
        <v>19</v>
      </c>
      <c r="C579" t="s">
        <v>27</v>
      </c>
      <c r="D579" t="s">
        <v>67</v>
      </c>
      <c r="E579" t="s">
        <v>660</v>
      </c>
      <c r="F579" t="s">
        <v>1540</v>
      </c>
      <c r="H579" t="s">
        <v>1670</v>
      </c>
      <c r="I579" t="s">
        <v>1670</v>
      </c>
      <c r="J579" t="s">
        <v>1674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f>N579-K579</f>
        <v>0</v>
      </c>
      <c r="R579">
        <f>O579-L579</f>
        <v>0</v>
      </c>
      <c r="S579">
        <f>P579-M579</f>
        <v>0</v>
      </c>
      <c r="T579">
        <v>3</v>
      </c>
      <c r="U579" s="14">
        <v>11407.93</v>
      </c>
      <c r="V579" s="14">
        <v>36</v>
      </c>
      <c r="W579" s="16">
        <v>3.6871432072171742E-5</v>
      </c>
      <c r="X579" s="16">
        <v>6.519707627333512E-5</v>
      </c>
    </row>
    <row r="580" spans="1:24" x14ac:dyDescent="0.2">
      <c r="A580" t="s">
        <v>16</v>
      </c>
      <c r="B580" t="s">
        <v>22</v>
      </c>
      <c r="C580" t="s">
        <v>39</v>
      </c>
      <c r="D580" t="s">
        <v>163</v>
      </c>
      <c r="E580" t="s">
        <v>598</v>
      </c>
      <c r="F580" t="s">
        <v>1358</v>
      </c>
      <c r="H580" t="s">
        <v>1670</v>
      </c>
      <c r="I580" t="s">
        <v>1671</v>
      </c>
      <c r="J580" t="s">
        <v>1674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2</v>
      </c>
      <c r="Q580">
        <f>N580-K580</f>
        <v>2</v>
      </c>
      <c r="R580">
        <f>O580-L580</f>
        <v>0</v>
      </c>
      <c r="S580">
        <f>P580-M580</f>
        <v>2</v>
      </c>
      <c r="T580">
        <v>3</v>
      </c>
      <c r="U580" s="14">
        <v>11154.78</v>
      </c>
      <c r="V580" s="14">
        <v>34</v>
      </c>
      <c r="W580" s="16">
        <v>3.605322903015884E-5</v>
      </c>
      <c r="X580" s="16">
        <v>6.1575016480372059E-5</v>
      </c>
    </row>
    <row r="581" spans="1:24" x14ac:dyDescent="0.2">
      <c r="A581" t="s">
        <v>16</v>
      </c>
      <c r="B581" t="s">
        <v>22</v>
      </c>
      <c r="C581" t="s">
        <v>40</v>
      </c>
      <c r="D581" t="s">
        <v>107</v>
      </c>
      <c r="E581" t="s">
        <v>475</v>
      </c>
      <c r="F581" t="s">
        <v>1058</v>
      </c>
      <c r="H581" t="s">
        <v>1670</v>
      </c>
      <c r="I581" t="s">
        <v>1670</v>
      </c>
      <c r="J581" t="s">
        <v>1674</v>
      </c>
      <c r="K581">
        <v>5</v>
      </c>
      <c r="L581">
        <v>0</v>
      </c>
      <c r="M581">
        <v>5</v>
      </c>
      <c r="N581">
        <v>3</v>
      </c>
      <c r="O581">
        <v>0</v>
      </c>
      <c r="P581">
        <v>3</v>
      </c>
      <c r="Q581">
        <f>N581-K581</f>
        <v>-2</v>
      </c>
      <c r="R581">
        <f>O581-L581</f>
        <v>0</v>
      </c>
      <c r="S581">
        <f>P581-M581</f>
        <v>-2</v>
      </c>
      <c r="T581">
        <v>10</v>
      </c>
      <c r="U581" s="14">
        <v>10840</v>
      </c>
      <c r="V581" s="14">
        <v>45</v>
      </c>
      <c r="W581" s="16">
        <v>3.5035832413272317E-5</v>
      </c>
      <c r="X581" s="16">
        <v>8.1496345341668897E-5</v>
      </c>
    </row>
    <row r="582" spans="1:24" x14ac:dyDescent="0.2">
      <c r="A582" t="s">
        <v>12</v>
      </c>
      <c r="B582" s="35" t="s">
        <v>19</v>
      </c>
      <c r="C582" t="s">
        <v>27</v>
      </c>
      <c r="D582" t="s">
        <v>70</v>
      </c>
      <c r="E582" t="s">
        <v>256</v>
      </c>
      <c r="F582" t="s">
        <v>704</v>
      </c>
      <c r="H582" t="s">
        <v>1670</v>
      </c>
      <c r="I582" t="s">
        <v>1670</v>
      </c>
      <c r="J582" t="s">
        <v>1674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f>N582-K582</f>
        <v>0</v>
      </c>
      <c r="R582">
        <f>O582-L582</f>
        <v>0</v>
      </c>
      <c r="S582">
        <f>P582-M582</f>
        <v>0</v>
      </c>
      <c r="T582">
        <v>2</v>
      </c>
      <c r="U582" s="14">
        <v>10487.59</v>
      </c>
      <c r="V582" s="14">
        <v>95</v>
      </c>
      <c r="W582" s="16">
        <v>3.3896812330176258E-5</v>
      </c>
      <c r="X582" s="16">
        <v>1.7204784016574545E-4</v>
      </c>
    </row>
    <row r="583" spans="1:24" x14ac:dyDescent="0.2">
      <c r="A583" t="s">
        <v>14</v>
      </c>
      <c r="B583" s="35" t="s">
        <v>19</v>
      </c>
      <c r="C583" t="s">
        <v>48</v>
      </c>
      <c r="D583" t="s">
        <v>129</v>
      </c>
      <c r="E583" t="s">
        <v>647</v>
      </c>
      <c r="F583" t="s">
        <v>1500</v>
      </c>
      <c r="H583" t="s">
        <v>1670</v>
      </c>
      <c r="I583" t="s">
        <v>1670</v>
      </c>
      <c r="J583" t="s">
        <v>1674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f>N583-K583</f>
        <v>0</v>
      </c>
      <c r="R583">
        <f>O583-L583</f>
        <v>0</v>
      </c>
      <c r="S583">
        <f>P583-M583</f>
        <v>0</v>
      </c>
      <c r="T583">
        <v>12</v>
      </c>
      <c r="U583" s="14">
        <v>9809.7300000000014</v>
      </c>
      <c r="V583" s="14">
        <v>155</v>
      </c>
      <c r="W583" s="16">
        <v>3.1705909252716781E-5</v>
      </c>
      <c r="X583" s="16">
        <v>2.8070963395463735E-4</v>
      </c>
    </row>
    <row r="584" spans="1:24" x14ac:dyDescent="0.2">
      <c r="A584" t="s">
        <v>13</v>
      </c>
      <c r="B584" t="s">
        <v>22</v>
      </c>
      <c r="C584" t="s">
        <v>40</v>
      </c>
      <c r="D584" t="s">
        <v>107</v>
      </c>
      <c r="E584" t="s">
        <v>344</v>
      </c>
      <c r="F584" t="s">
        <v>1428</v>
      </c>
      <c r="H584" t="s">
        <v>1670</v>
      </c>
      <c r="I584" t="s">
        <v>1670</v>
      </c>
      <c r="J584" t="s">
        <v>1673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f>N584-K584</f>
        <v>1</v>
      </c>
      <c r="R584">
        <f>O584-L584</f>
        <v>0</v>
      </c>
      <c r="S584">
        <f>P584-M584</f>
        <v>1</v>
      </c>
      <c r="T584">
        <v>21</v>
      </c>
      <c r="U584" s="14">
        <v>9661.25</v>
      </c>
      <c r="V584" s="14">
        <v>128</v>
      </c>
      <c r="W584" s="16">
        <v>3.1226008847115053E-5</v>
      </c>
      <c r="X584" s="16">
        <v>2.3181182674963599E-4</v>
      </c>
    </row>
    <row r="585" spans="1:24" x14ac:dyDescent="0.2">
      <c r="A585" t="s">
        <v>16</v>
      </c>
      <c r="B585" t="s">
        <v>22</v>
      </c>
      <c r="C585" t="s">
        <v>39</v>
      </c>
      <c r="D585" t="s">
        <v>166</v>
      </c>
      <c r="E585" t="s">
        <v>461</v>
      </c>
      <c r="F585" t="s">
        <v>1447</v>
      </c>
      <c r="H585" t="s">
        <v>1670</v>
      </c>
      <c r="I585" t="s">
        <v>1670</v>
      </c>
      <c r="J585" t="s">
        <v>1673</v>
      </c>
      <c r="K585">
        <v>0</v>
      </c>
      <c r="L585">
        <v>0</v>
      </c>
      <c r="M585">
        <v>0</v>
      </c>
      <c r="N585">
        <v>2</v>
      </c>
      <c r="O585">
        <v>0</v>
      </c>
      <c r="P585">
        <v>2</v>
      </c>
      <c r="Q585">
        <f>N585-K585</f>
        <v>2</v>
      </c>
      <c r="R585">
        <f>O585-L585</f>
        <v>0</v>
      </c>
      <c r="S585">
        <f>P585-M585</f>
        <v>2</v>
      </c>
      <c r="T585">
        <v>19</v>
      </c>
      <c r="U585" s="14">
        <v>9433.9700000000012</v>
      </c>
      <c r="V585" s="14">
        <v>55</v>
      </c>
      <c r="W585" s="16">
        <v>3.0491419918066299E-5</v>
      </c>
      <c r="X585" s="16">
        <v>9.9606644306484218E-5</v>
      </c>
    </row>
    <row r="586" spans="1:24" x14ac:dyDescent="0.2">
      <c r="A586" t="s">
        <v>14</v>
      </c>
      <c r="B586" s="35" t="s">
        <v>19</v>
      </c>
      <c r="C586" t="s">
        <v>27</v>
      </c>
      <c r="D586" t="s">
        <v>136</v>
      </c>
      <c r="E586" t="s">
        <v>606</v>
      </c>
      <c r="F586" t="s">
        <v>1589</v>
      </c>
      <c r="H586" t="s">
        <v>1670</v>
      </c>
      <c r="I586" t="s">
        <v>1670</v>
      </c>
      <c r="J586" t="s">
        <v>1674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f>N586-K586</f>
        <v>0</v>
      </c>
      <c r="R586">
        <f>O586-L586</f>
        <v>0</v>
      </c>
      <c r="S586">
        <f>P586-M586</f>
        <v>0</v>
      </c>
      <c r="T586">
        <v>4</v>
      </c>
      <c r="U586" s="14">
        <v>9290.41</v>
      </c>
      <c r="V586" s="14">
        <v>34</v>
      </c>
      <c r="W586" s="16">
        <v>3.0027421384740709E-5</v>
      </c>
      <c r="X586" s="16">
        <v>6.1575016480372059E-5</v>
      </c>
    </row>
    <row r="587" spans="1:24" x14ac:dyDescent="0.2">
      <c r="A587" t="s">
        <v>13</v>
      </c>
      <c r="B587" t="s">
        <v>22</v>
      </c>
      <c r="C587" t="s">
        <v>46</v>
      </c>
      <c r="D587" t="s">
        <v>170</v>
      </c>
      <c r="E587" t="s">
        <v>608</v>
      </c>
      <c r="F587" t="s">
        <v>1547</v>
      </c>
      <c r="H587" t="s">
        <v>1670</v>
      </c>
      <c r="I587" t="s">
        <v>1672</v>
      </c>
      <c r="J587" t="s">
        <v>1674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f>N587-K587</f>
        <v>0</v>
      </c>
      <c r="R587">
        <f>O587-L587</f>
        <v>0</v>
      </c>
      <c r="S587">
        <f>P587-M587</f>
        <v>0</v>
      </c>
      <c r="T587">
        <v>5</v>
      </c>
      <c r="U587" s="14">
        <v>9159.91</v>
      </c>
      <c r="V587" s="14">
        <v>16</v>
      </c>
      <c r="W587" s="16">
        <v>2.9605633918879817E-5</v>
      </c>
      <c r="X587" s="16">
        <v>2.8976478343704499E-5</v>
      </c>
    </row>
    <row r="588" spans="1:24" x14ac:dyDescent="0.2">
      <c r="A588" t="s">
        <v>17</v>
      </c>
      <c r="B588" t="s">
        <v>24</v>
      </c>
      <c r="C588" t="s">
        <v>49</v>
      </c>
      <c r="D588" t="s">
        <v>133</v>
      </c>
      <c r="E588" t="s">
        <v>488</v>
      </c>
      <c r="F588" t="s">
        <v>1089</v>
      </c>
      <c r="H588" t="s">
        <v>1670</v>
      </c>
      <c r="I588" t="s">
        <v>1670</v>
      </c>
      <c r="J588" t="s">
        <v>1674</v>
      </c>
      <c r="K588">
        <v>4</v>
      </c>
      <c r="L588">
        <v>0</v>
      </c>
      <c r="M588">
        <v>4</v>
      </c>
      <c r="N588">
        <v>2</v>
      </c>
      <c r="O588">
        <v>0</v>
      </c>
      <c r="P588">
        <v>2</v>
      </c>
      <c r="Q588">
        <f>N588-K588</f>
        <v>-2</v>
      </c>
      <c r="R588">
        <f>O588-L588</f>
        <v>0</v>
      </c>
      <c r="S588">
        <f>P588-M588</f>
        <v>-2</v>
      </c>
      <c r="T588">
        <v>14</v>
      </c>
      <c r="U588" s="14">
        <v>9156.2199999999993</v>
      </c>
      <c r="V588" s="14">
        <v>25</v>
      </c>
      <c r="W588" s="16">
        <v>2.9593707514672716E-5</v>
      </c>
      <c r="X588" s="16">
        <v>4.5275747412038275E-5</v>
      </c>
    </row>
    <row r="589" spans="1:24" x14ac:dyDescent="0.2">
      <c r="A589" t="s">
        <v>14</v>
      </c>
      <c r="B589" s="35" t="s">
        <v>19</v>
      </c>
      <c r="C589" t="s">
        <v>50</v>
      </c>
      <c r="D589" t="s">
        <v>137</v>
      </c>
      <c r="E589" t="s">
        <v>137</v>
      </c>
      <c r="F589" t="s">
        <v>137</v>
      </c>
      <c r="H589" t="s">
        <v>1670</v>
      </c>
      <c r="I589" t="s">
        <v>1670</v>
      </c>
      <c r="J589" t="s">
        <v>1674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1</v>
      </c>
      <c r="Q589">
        <f>N589-K589</f>
        <v>0</v>
      </c>
      <c r="R589">
        <f>O589-L589</f>
        <v>0</v>
      </c>
      <c r="S589">
        <f>P589-M589</f>
        <v>0</v>
      </c>
      <c r="T589">
        <v>6</v>
      </c>
      <c r="U589" s="14">
        <v>9116.51</v>
      </c>
      <c r="V589" s="14">
        <v>11</v>
      </c>
      <c r="W589" s="16">
        <v>2.9465361305712291E-5</v>
      </c>
      <c r="X589" s="16">
        <v>1.9921328861296842E-5</v>
      </c>
    </row>
    <row r="590" spans="1:24" x14ac:dyDescent="0.2">
      <c r="A590" t="s">
        <v>16</v>
      </c>
      <c r="B590" t="s">
        <v>22</v>
      </c>
      <c r="C590" t="s">
        <v>39</v>
      </c>
      <c r="D590" t="s">
        <v>106</v>
      </c>
      <c r="E590" t="s">
        <v>452</v>
      </c>
      <c r="F590" t="s">
        <v>1030</v>
      </c>
      <c r="H590" t="s">
        <v>1670</v>
      </c>
      <c r="I590" t="s">
        <v>1670</v>
      </c>
      <c r="J590" t="s">
        <v>1674</v>
      </c>
      <c r="K590">
        <v>5</v>
      </c>
      <c r="L590">
        <v>0</v>
      </c>
      <c r="M590">
        <v>5</v>
      </c>
      <c r="N590">
        <v>0</v>
      </c>
      <c r="O590">
        <v>0</v>
      </c>
      <c r="P590">
        <v>0</v>
      </c>
      <c r="Q590">
        <f>N590-K590</f>
        <v>-5</v>
      </c>
      <c r="R590">
        <f>O590-L590</f>
        <v>0</v>
      </c>
      <c r="S590">
        <f>P590-M590</f>
        <v>-5</v>
      </c>
      <c r="T590">
        <v>12</v>
      </c>
      <c r="U590" s="14">
        <v>9063.7700000000023</v>
      </c>
      <c r="V590" s="14">
        <v>24</v>
      </c>
      <c r="W590" s="16">
        <v>2.9294900991922998E-5</v>
      </c>
      <c r="X590" s="16">
        <v>4.3464717515556745E-5</v>
      </c>
    </row>
    <row r="591" spans="1:24" x14ac:dyDescent="0.2">
      <c r="A591" t="s">
        <v>16</v>
      </c>
      <c r="B591" t="s">
        <v>22</v>
      </c>
      <c r="C591" t="s">
        <v>39</v>
      </c>
      <c r="D591" t="s">
        <v>165</v>
      </c>
      <c r="E591" t="s">
        <v>460</v>
      </c>
      <c r="F591" t="s">
        <v>1468</v>
      </c>
      <c r="H591" t="s">
        <v>1670</v>
      </c>
      <c r="I591" t="s">
        <v>1670</v>
      </c>
      <c r="J591" t="s">
        <v>1674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f>N591-K591</f>
        <v>0</v>
      </c>
      <c r="R591">
        <f>O591-L591</f>
        <v>0</v>
      </c>
      <c r="S591">
        <f>P591-M591</f>
        <v>0</v>
      </c>
      <c r="T591">
        <v>10</v>
      </c>
      <c r="U591" s="14">
        <v>8667.7800000000007</v>
      </c>
      <c r="V591" s="14">
        <v>11</v>
      </c>
      <c r="W591" s="16">
        <v>2.8015026519844425E-5</v>
      </c>
      <c r="X591" s="16">
        <v>1.9921328861296842E-5</v>
      </c>
    </row>
    <row r="592" spans="1:24" x14ac:dyDescent="0.2">
      <c r="A592" t="s">
        <v>16</v>
      </c>
      <c r="B592" t="s">
        <v>22</v>
      </c>
      <c r="C592" t="s">
        <v>39</v>
      </c>
      <c r="D592" t="s">
        <v>156</v>
      </c>
      <c r="E592" t="s">
        <v>438</v>
      </c>
      <c r="F592" t="s">
        <v>1003</v>
      </c>
      <c r="H592" t="s">
        <v>1670</v>
      </c>
      <c r="I592" t="s">
        <v>1670</v>
      </c>
      <c r="J592" t="s">
        <v>1674</v>
      </c>
      <c r="K592">
        <v>1</v>
      </c>
      <c r="L592">
        <v>0</v>
      </c>
      <c r="M592">
        <v>1</v>
      </c>
      <c r="N592">
        <v>2</v>
      </c>
      <c r="O592">
        <v>0</v>
      </c>
      <c r="P592">
        <v>2</v>
      </c>
      <c r="Q592">
        <f>N592-K592</f>
        <v>1</v>
      </c>
      <c r="R592">
        <f>O592-L592</f>
        <v>0</v>
      </c>
      <c r="S592">
        <f>P592-M592</f>
        <v>1</v>
      </c>
      <c r="T592">
        <v>1</v>
      </c>
      <c r="U592" s="14">
        <v>8436.32</v>
      </c>
      <c r="V592" s="14">
        <v>160</v>
      </c>
      <c r="W592" s="16">
        <v>2.7266927463536672E-5</v>
      </c>
      <c r="X592" s="16">
        <v>2.8976478343704497E-4</v>
      </c>
    </row>
    <row r="593" spans="1:24" x14ac:dyDescent="0.2">
      <c r="A593" t="s">
        <v>17</v>
      </c>
      <c r="B593" t="s">
        <v>23</v>
      </c>
      <c r="C593" t="s">
        <v>61</v>
      </c>
      <c r="D593" t="s">
        <v>215</v>
      </c>
      <c r="E593" t="s">
        <v>215</v>
      </c>
      <c r="F593" t="s">
        <v>1483</v>
      </c>
      <c r="H593" t="s">
        <v>1669</v>
      </c>
      <c r="I593" t="s">
        <v>1672</v>
      </c>
      <c r="J593" t="s">
        <v>1674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f>N593-K593</f>
        <v>0</v>
      </c>
      <c r="R593">
        <f>O593-L593</f>
        <v>0</v>
      </c>
      <c r="S593">
        <f>P593-M593</f>
        <v>0</v>
      </c>
      <c r="T593">
        <v>1</v>
      </c>
      <c r="U593" s="14">
        <v>827</v>
      </c>
      <c r="V593" s="14">
        <v>1</v>
      </c>
      <c r="W593" s="16">
        <v>2.6729366610494656E-6</v>
      </c>
      <c r="X593" s="16">
        <v>1.8110298964815312E-6</v>
      </c>
    </row>
    <row r="594" spans="1:24" x14ac:dyDescent="0.2">
      <c r="A594" t="s">
        <v>16</v>
      </c>
      <c r="B594" t="s">
        <v>22</v>
      </c>
      <c r="C594" t="s">
        <v>46</v>
      </c>
      <c r="D594" t="s">
        <v>211</v>
      </c>
      <c r="E594" t="s">
        <v>605</v>
      </c>
      <c r="F594" t="s">
        <v>1373</v>
      </c>
      <c r="H594" t="s">
        <v>1670</v>
      </c>
      <c r="I594" t="s">
        <v>1672</v>
      </c>
      <c r="J594" t="s">
        <v>1674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f>N594-K594</f>
        <v>0</v>
      </c>
      <c r="R594">
        <f>O594-L594</f>
        <v>0</v>
      </c>
      <c r="S594">
        <f>P594-M594</f>
        <v>0</v>
      </c>
      <c r="T594">
        <v>44</v>
      </c>
      <c r="U594" s="14">
        <v>8232.8700000000008</v>
      </c>
      <c r="V594" s="14">
        <v>159</v>
      </c>
      <c r="W594" s="16">
        <v>2.6609359188215618E-5</v>
      </c>
      <c r="X594" s="16">
        <v>2.8795375354056347E-4</v>
      </c>
    </row>
    <row r="595" spans="1:24" x14ac:dyDescent="0.2">
      <c r="A595" t="s">
        <v>14</v>
      </c>
      <c r="B595" s="35" t="s">
        <v>19</v>
      </c>
      <c r="C595" t="s">
        <v>42</v>
      </c>
      <c r="D595" t="s">
        <v>109</v>
      </c>
      <c r="E595" t="s">
        <v>635</v>
      </c>
      <c r="F595" t="s">
        <v>635</v>
      </c>
      <c r="H595" t="s">
        <v>1670</v>
      </c>
      <c r="I595" t="s">
        <v>1670</v>
      </c>
      <c r="J595" t="s">
        <v>1674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f>N595-K595</f>
        <v>0</v>
      </c>
      <c r="R595">
        <f>O595-L595</f>
        <v>0</v>
      </c>
      <c r="S595">
        <f>P595-M595</f>
        <v>0</v>
      </c>
      <c r="T595">
        <v>3</v>
      </c>
      <c r="U595" s="14">
        <v>8092.7999999999993</v>
      </c>
      <c r="V595" s="14">
        <v>31</v>
      </c>
      <c r="W595" s="16">
        <v>2.6156640641524925E-5</v>
      </c>
      <c r="X595" s="16">
        <v>5.6141926790927467E-5</v>
      </c>
    </row>
    <row r="596" spans="1:24" x14ac:dyDescent="0.2">
      <c r="A596" t="s">
        <v>13</v>
      </c>
      <c r="B596" t="s">
        <v>22</v>
      </c>
      <c r="C596" t="s">
        <v>37</v>
      </c>
      <c r="D596" t="s">
        <v>100</v>
      </c>
      <c r="E596" t="s">
        <v>657</v>
      </c>
      <c r="F596" t="s">
        <v>657</v>
      </c>
      <c r="H596" t="s">
        <v>1670</v>
      </c>
      <c r="I596" t="s">
        <v>1670</v>
      </c>
      <c r="J596" t="s">
        <v>1674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f>N596-K596</f>
        <v>0</v>
      </c>
      <c r="R596">
        <f>O596-L596</f>
        <v>0</v>
      </c>
      <c r="S596">
        <f>P596-M596</f>
        <v>0</v>
      </c>
      <c r="T596">
        <v>26</v>
      </c>
      <c r="U596" s="14">
        <v>8063.369999999999</v>
      </c>
      <c r="V596" s="14">
        <v>71</v>
      </c>
      <c r="W596" s="16">
        <v>2.6061520295775607E-5</v>
      </c>
      <c r="X596" s="16">
        <v>1.2858312265018871E-4</v>
      </c>
    </row>
    <row r="597" spans="1:24" x14ac:dyDescent="0.2">
      <c r="A597" t="s">
        <v>13</v>
      </c>
      <c r="B597" t="s">
        <v>22</v>
      </c>
      <c r="C597" t="s">
        <v>46</v>
      </c>
      <c r="D597" t="s">
        <v>170</v>
      </c>
      <c r="E597" t="s">
        <v>468</v>
      </c>
      <c r="F597" t="s">
        <v>1386</v>
      </c>
      <c r="H597" t="s">
        <v>1670</v>
      </c>
      <c r="I597" t="s">
        <v>1671</v>
      </c>
      <c r="J597" t="s">
        <v>1674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f>N597-K597</f>
        <v>0</v>
      </c>
      <c r="R597">
        <f>O597-L597</f>
        <v>0</v>
      </c>
      <c r="S597">
        <f>P597-M597</f>
        <v>0</v>
      </c>
      <c r="T597">
        <v>8</v>
      </c>
      <c r="U597" s="14">
        <v>7886.25</v>
      </c>
      <c r="V597" s="14">
        <v>16</v>
      </c>
      <c r="W597" s="16">
        <v>2.5489052893834762E-5</v>
      </c>
      <c r="X597" s="16">
        <v>2.8976478343704499E-5</v>
      </c>
    </row>
    <row r="598" spans="1:24" x14ac:dyDescent="0.2">
      <c r="A598" t="s">
        <v>16</v>
      </c>
      <c r="B598" t="s">
        <v>22</v>
      </c>
      <c r="C598" t="s">
        <v>46</v>
      </c>
      <c r="D598" t="s">
        <v>168</v>
      </c>
      <c r="E598" t="s">
        <v>466</v>
      </c>
      <c r="F598" t="s">
        <v>1047</v>
      </c>
      <c r="H598" t="s">
        <v>1670</v>
      </c>
      <c r="I598" t="s">
        <v>1672</v>
      </c>
      <c r="J598" t="s">
        <v>1674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f>N598-K598</f>
        <v>-1</v>
      </c>
      <c r="R598">
        <f>O598-L598</f>
        <v>0</v>
      </c>
      <c r="S598">
        <f>P598-M598</f>
        <v>-1</v>
      </c>
      <c r="T598">
        <v>13</v>
      </c>
      <c r="U598" s="14">
        <v>7681.56</v>
      </c>
      <c r="V598" s="14">
        <v>61</v>
      </c>
      <c r="W598" s="16">
        <v>2.4827476829566064E-5</v>
      </c>
      <c r="X598" s="16">
        <v>1.104728236853734E-4</v>
      </c>
    </row>
    <row r="599" spans="1:24" x14ac:dyDescent="0.2">
      <c r="A599" t="s">
        <v>16</v>
      </c>
      <c r="B599" t="s">
        <v>22</v>
      </c>
      <c r="C599" t="s">
        <v>46</v>
      </c>
      <c r="D599" t="s">
        <v>168</v>
      </c>
      <c r="E599" t="s">
        <v>463</v>
      </c>
      <c r="F599" t="s">
        <v>1044</v>
      </c>
      <c r="G599" t="s">
        <v>1719</v>
      </c>
      <c r="H599" t="s">
        <v>1670</v>
      </c>
      <c r="I599" t="s">
        <v>1672</v>
      </c>
      <c r="J599" t="s">
        <v>1674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0</v>
      </c>
      <c r="Q599">
        <f>N599-K599</f>
        <v>-1</v>
      </c>
      <c r="R599">
        <f>O599-L599</f>
        <v>0</v>
      </c>
      <c r="S599">
        <f>P599-M599</f>
        <v>-1</v>
      </c>
      <c r="T599">
        <v>7</v>
      </c>
      <c r="U599" s="14">
        <v>7320.8</v>
      </c>
      <c r="V599" s="14">
        <v>65</v>
      </c>
      <c r="W599" s="16">
        <v>2.3661468812830627E-5</v>
      </c>
      <c r="X599" s="16">
        <v>1.1771694327129953E-4</v>
      </c>
    </row>
    <row r="600" spans="1:24" x14ac:dyDescent="0.2">
      <c r="A600" t="s">
        <v>16</v>
      </c>
      <c r="B600" t="s">
        <v>22</v>
      </c>
      <c r="C600" t="s">
        <v>46</v>
      </c>
      <c r="D600" t="s">
        <v>211</v>
      </c>
      <c r="E600" t="s">
        <v>610</v>
      </c>
      <c r="F600" t="s">
        <v>1390</v>
      </c>
      <c r="G600" t="s">
        <v>1719</v>
      </c>
      <c r="H600" t="s">
        <v>1670</v>
      </c>
      <c r="I600" t="s">
        <v>1672</v>
      </c>
      <c r="J600" t="s">
        <v>1674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f>N600-K600</f>
        <v>0</v>
      </c>
      <c r="R600">
        <f>O600-L600</f>
        <v>0</v>
      </c>
      <c r="S600">
        <f>P600-M600</f>
        <v>0</v>
      </c>
      <c r="T600">
        <v>24</v>
      </c>
      <c r="U600" s="14">
        <v>7289.2699999999995</v>
      </c>
      <c r="V600" s="14">
        <v>242</v>
      </c>
      <c r="W600" s="16">
        <v>2.3559561082573201E-5</v>
      </c>
      <c r="X600" s="16">
        <v>4.3826923494853055E-4</v>
      </c>
    </row>
    <row r="601" spans="1:24" x14ac:dyDescent="0.2">
      <c r="A601" t="s">
        <v>13</v>
      </c>
      <c r="B601" t="s">
        <v>22</v>
      </c>
      <c r="C601" t="s">
        <v>46</v>
      </c>
      <c r="D601" t="s">
        <v>122</v>
      </c>
      <c r="E601" t="s">
        <v>365</v>
      </c>
      <c r="F601" t="s">
        <v>1454</v>
      </c>
      <c r="G601" t="s">
        <v>1719</v>
      </c>
      <c r="H601" t="s">
        <v>1670</v>
      </c>
      <c r="I601" t="s">
        <v>1672</v>
      </c>
      <c r="J601" t="s">
        <v>1674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f>N601-K601</f>
        <v>0</v>
      </c>
      <c r="R601">
        <f>O601-L601</f>
        <v>0</v>
      </c>
      <c r="S601">
        <f>P601-M601</f>
        <v>0</v>
      </c>
      <c r="T601">
        <v>4</v>
      </c>
      <c r="U601" s="14">
        <v>6801.33</v>
      </c>
      <c r="V601" s="14">
        <v>17</v>
      </c>
      <c r="W601" s="16">
        <v>2.1982496131675406E-5</v>
      </c>
      <c r="X601" s="16">
        <v>3.0787508240186029E-5</v>
      </c>
    </row>
    <row r="602" spans="1:24" x14ac:dyDescent="0.2">
      <c r="A602" t="s">
        <v>16</v>
      </c>
      <c r="B602" t="s">
        <v>22</v>
      </c>
      <c r="C602" t="s">
        <v>39</v>
      </c>
      <c r="D602" t="s">
        <v>163</v>
      </c>
      <c r="E602" t="s">
        <v>458</v>
      </c>
      <c r="F602" t="s">
        <v>1526</v>
      </c>
      <c r="H602" t="s">
        <v>1670</v>
      </c>
      <c r="I602" t="s">
        <v>1670</v>
      </c>
      <c r="J602" t="s">
        <v>1674</v>
      </c>
      <c r="K602">
        <v>0</v>
      </c>
      <c r="L602">
        <v>0</v>
      </c>
      <c r="M602">
        <v>0</v>
      </c>
      <c r="N602">
        <v>5</v>
      </c>
      <c r="O602">
        <v>0</v>
      </c>
      <c r="P602">
        <v>5</v>
      </c>
      <c r="Q602">
        <f>N602-K602</f>
        <v>5</v>
      </c>
      <c r="R602">
        <f>O602-L602</f>
        <v>0</v>
      </c>
      <c r="S602">
        <f>P602-M602</f>
        <v>5</v>
      </c>
      <c r="T602">
        <v>2</v>
      </c>
      <c r="U602" s="14">
        <v>6402</v>
      </c>
      <c r="V602" s="14">
        <v>15</v>
      </c>
      <c r="W602" s="16">
        <v>2.0691826486141087E-5</v>
      </c>
      <c r="X602" s="16">
        <v>2.7165448447222968E-5</v>
      </c>
    </row>
    <row r="603" spans="1:24" x14ac:dyDescent="0.2">
      <c r="A603" t="s">
        <v>13</v>
      </c>
      <c r="B603" t="s">
        <v>21</v>
      </c>
      <c r="C603" t="s">
        <v>35</v>
      </c>
      <c r="D603" t="s">
        <v>95</v>
      </c>
      <c r="E603" t="s">
        <v>324</v>
      </c>
      <c r="F603" t="s">
        <v>1493</v>
      </c>
      <c r="H603" t="s">
        <v>1669</v>
      </c>
      <c r="I603" t="s">
        <v>1672</v>
      </c>
      <c r="J603" t="s">
        <v>1674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f>N603-K603</f>
        <v>0</v>
      </c>
      <c r="R603">
        <f>O603-L603</f>
        <v>0</v>
      </c>
      <c r="S603">
        <f>P603-M603</f>
        <v>0</v>
      </c>
      <c r="T603">
        <v>4</v>
      </c>
      <c r="U603" s="14">
        <v>25608.25</v>
      </c>
      <c r="V603" s="14">
        <v>24</v>
      </c>
      <c r="W603" s="16">
        <v>8.2768113966529591E-5</v>
      </c>
      <c r="X603" s="16">
        <v>4.3464717515556745E-5</v>
      </c>
    </row>
    <row r="604" spans="1:24" x14ac:dyDescent="0.2">
      <c r="A604" t="s">
        <v>17</v>
      </c>
      <c r="B604" t="s">
        <v>24</v>
      </c>
      <c r="C604" t="s">
        <v>49</v>
      </c>
      <c r="D604" t="s">
        <v>133</v>
      </c>
      <c r="E604" t="s">
        <v>488</v>
      </c>
      <c r="F604" t="s">
        <v>1088</v>
      </c>
      <c r="H604" t="s">
        <v>1670</v>
      </c>
      <c r="I604" t="s">
        <v>1670</v>
      </c>
      <c r="J604" t="s">
        <v>1674</v>
      </c>
      <c r="K604">
        <v>2</v>
      </c>
      <c r="L604">
        <v>0</v>
      </c>
      <c r="M604">
        <v>2</v>
      </c>
      <c r="N604">
        <v>0</v>
      </c>
      <c r="O604">
        <v>0</v>
      </c>
      <c r="P604">
        <v>0</v>
      </c>
      <c r="Q604">
        <f>N604-K604</f>
        <v>-2</v>
      </c>
      <c r="R604">
        <f>O604-L604</f>
        <v>0</v>
      </c>
      <c r="S604">
        <f>P604-M604</f>
        <v>-2</v>
      </c>
      <c r="T604">
        <v>3</v>
      </c>
      <c r="U604" s="14">
        <v>6317</v>
      </c>
      <c r="V604" s="14">
        <v>3</v>
      </c>
      <c r="W604" s="16">
        <v>2.0417099017955833E-5</v>
      </c>
      <c r="X604" s="16">
        <v>5.4330896894445931E-6</v>
      </c>
    </row>
    <row r="605" spans="1:24" x14ac:dyDescent="0.2">
      <c r="A605" t="s">
        <v>14</v>
      </c>
      <c r="B605" s="35" t="s">
        <v>19</v>
      </c>
      <c r="C605" t="s">
        <v>27</v>
      </c>
      <c r="D605" t="s">
        <v>135</v>
      </c>
      <c r="E605" t="s">
        <v>384</v>
      </c>
      <c r="F605" t="s">
        <v>903</v>
      </c>
      <c r="H605" t="s">
        <v>1670</v>
      </c>
      <c r="I605" t="s">
        <v>1670</v>
      </c>
      <c r="J605" t="s">
        <v>1674</v>
      </c>
      <c r="K605">
        <v>4</v>
      </c>
      <c r="L605">
        <v>0</v>
      </c>
      <c r="M605">
        <v>4</v>
      </c>
      <c r="N605">
        <v>4</v>
      </c>
      <c r="O605">
        <v>0</v>
      </c>
      <c r="P605">
        <v>4</v>
      </c>
      <c r="Q605">
        <f>N605-K605</f>
        <v>0</v>
      </c>
      <c r="R605">
        <f>O605-L605</f>
        <v>0</v>
      </c>
      <c r="S605">
        <f>P605-M605</f>
        <v>0</v>
      </c>
      <c r="T605">
        <v>5</v>
      </c>
      <c r="U605" s="14">
        <v>6220.28</v>
      </c>
      <c r="V605" s="14">
        <v>14</v>
      </c>
      <c r="W605" s="16">
        <v>2.0104491480039625E-5</v>
      </c>
      <c r="X605" s="16">
        <v>2.5354418550741437E-5</v>
      </c>
    </row>
    <row r="606" spans="1:24" x14ac:dyDescent="0.2">
      <c r="A606" t="s">
        <v>16</v>
      </c>
      <c r="B606" t="s">
        <v>22</v>
      </c>
      <c r="C606" t="s">
        <v>39</v>
      </c>
      <c r="D606" t="s">
        <v>59</v>
      </c>
      <c r="E606" t="s">
        <v>603</v>
      </c>
      <c r="F606" t="s">
        <v>1496</v>
      </c>
      <c r="H606" t="s">
        <v>1670</v>
      </c>
      <c r="I606" t="s">
        <v>1670</v>
      </c>
      <c r="J606" t="s">
        <v>1674</v>
      </c>
      <c r="K606">
        <v>0</v>
      </c>
      <c r="L606">
        <v>0</v>
      </c>
      <c r="M606">
        <v>0</v>
      </c>
      <c r="N606">
        <v>3</v>
      </c>
      <c r="O606">
        <v>0</v>
      </c>
      <c r="P606">
        <v>3</v>
      </c>
      <c r="Q606">
        <f>N606-K606</f>
        <v>3</v>
      </c>
      <c r="R606">
        <f>O606-L606</f>
        <v>0</v>
      </c>
      <c r="S606">
        <f>P606-M606</f>
        <v>3</v>
      </c>
      <c r="T606">
        <v>1</v>
      </c>
      <c r="U606" s="14">
        <v>6198</v>
      </c>
      <c r="V606" s="14">
        <v>28</v>
      </c>
      <c r="W606" s="16">
        <v>2.0032480562496478E-5</v>
      </c>
      <c r="X606" s="16">
        <v>5.0708837101482874E-5</v>
      </c>
    </row>
    <row r="607" spans="1:24" x14ac:dyDescent="0.2">
      <c r="A607" t="s">
        <v>16</v>
      </c>
      <c r="B607" t="s">
        <v>22</v>
      </c>
      <c r="C607" t="s">
        <v>39</v>
      </c>
      <c r="D607" t="s">
        <v>159</v>
      </c>
      <c r="E607" t="s">
        <v>447</v>
      </c>
      <c r="F607" t="s">
        <v>1554</v>
      </c>
      <c r="H607" t="s">
        <v>1670</v>
      </c>
      <c r="I607" t="s">
        <v>1670</v>
      </c>
      <c r="J607" t="s">
        <v>1674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f>N607-K607</f>
        <v>1</v>
      </c>
      <c r="R607">
        <f>O607-L607</f>
        <v>0</v>
      </c>
      <c r="S607">
        <f>P607-M607</f>
        <v>1</v>
      </c>
      <c r="T607">
        <v>9</v>
      </c>
      <c r="U607" s="14">
        <v>6053.63</v>
      </c>
      <c r="V607" s="14">
        <v>18</v>
      </c>
      <c r="W607" s="16">
        <v>1.9565864038003478E-5</v>
      </c>
      <c r="X607" s="16">
        <v>3.259853813666756E-5</v>
      </c>
    </row>
    <row r="608" spans="1:24" x14ac:dyDescent="0.2">
      <c r="A608" t="s">
        <v>12</v>
      </c>
      <c r="B608" s="35" t="s">
        <v>19</v>
      </c>
      <c r="C608" t="s">
        <v>28</v>
      </c>
      <c r="D608" t="s">
        <v>72</v>
      </c>
      <c r="E608" t="s">
        <v>265</v>
      </c>
      <c r="F608" t="s">
        <v>720</v>
      </c>
      <c r="H608" t="s">
        <v>1670</v>
      </c>
      <c r="I608" t="s">
        <v>1670</v>
      </c>
      <c r="J608" t="s">
        <v>1674</v>
      </c>
      <c r="K608">
        <v>3</v>
      </c>
      <c r="L608">
        <v>0</v>
      </c>
      <c r="M608">
        <v>3</v>
      </c>
      <c r="N608">
        <v>3</v>
      </c>
      <c r="O608">
        <v>0</v>
      </c>
      <c r="P608">
        <v>3</v>
      </c>
      <c r="Q608">
        <f>N608-K608</f>
        <v>0</v>
      </c>
      <c r="R608">
        <f>O608-L608</f>
        <v>0</v>
      </c>
      <c r="S608">
        <f>P608-M608</f>
        <v>0</v>
      </c>
      <c r="T608">
        <v>9</v>
      </c>
      <c r="U608" s="14">
        <v>5950.6900000000005</v>
      </c>
      <c r="V608" s="14">
        <v>42</v>
      </c>
      <c r="W608" s="16">
        <v>1.9233152913591833E-5</v>
      </c>
      <c r="X608" s="16">
        <v>7.6063255652224305E-5</v>
      </c>
    </row>
    <row r="609" spans="1:24" x14ac:dyDescent="0.2">
      <c r="A609" t="s">
        <v>17</v>
      </c>
      <c r="B609" s="35" t="s">
        <v>19</v>
      </c>
      <c r="C609" t="s">
        <v>52</v>
      </c>
      <c r="D609" t="s">
        <v>140</v>
      </c>
      <c r="E609" t="s">
        <v>510</v>
      </c>
      <c r="F609" t="s">
        <v>1126</v>
      </c>
      <c r="H609" t="s">
        <v>1670</v>
      </c>
      <c r="I609" t="s">
        <v>1670</v>
      </c>
      <c r="J609" t="s">
        <v>1674</v>
      </c>
      <c r="K609">
        <v>6</v>
      </c>
      <c r="L609">
        <v>0</v>
      </c>
      <c r="M609">
        <v>6</v>
      </c>
      <c r="N609">
        <v>6</v>
      </c>
      <c r="O609">
        <v>0</v>
      </c>
      <c r="P609">
        <v>6</v>
      </c>
      <c r="Q609">
        <f>N609-K609</f>
        <v>0</v>
      </c>
      <c r="R609">
        <f>O609-L609</f>
        <v>0</v>
      </c>
      <c r="S609">
        <f>P609-M609</f>
        <v>0</v>
      </c>
      <c r="T609">
        <v>5</v>
      </c>
      <c r="U609" s="14">
        <v>5629.7699999999995</v>
      </c>
      <c r="V609" s="14">
        <v>60</v>
      </c>
      <c r="W609" s="16">
        <v>1.8195911277238752E-5</v>
      </c>
      <c r="X609" s="16">
        <v>1.0866179378889187E-4</v>
      </c>
    </row>
    <row r="610" spans="1:24" x14ac:dyDescent="0.2">
      <c r="A610" t="s">
        <v>16</v>
      </c>
      <c r="B610" t="s">
        <v>22</v>
      </c>
      <c r="C610" t="s">
        <v>46</v>
      </c>
      <c r="D610" t="s">
        <v>211</v>
      </c>
      <c r="E610" t="s">
        <v>626</v>
      </c>
      <c r="F610" t="s">
        <v>1452</v>
      </c>
      <c r="G610" t="s">
        <v>1719</v>
      </c>
      <c r="H610" t="s">
        <v>1670</v>
      </c>
      <c r="I610" t="s">
        <v>1672</v>
      </c>
      <c r="J610" t="s">
        <v>1674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f>N610-K610</f>
        <v>0</v>
      </c>
      <c r="R610">
        <f>O610-L610</f>
        <v>0</v>
      </c>
      <c r="S610">
        <f>P610-M610</f>
        <v>0</v>
      </c>
      <c r="T610">
        <v>5</v>
      </c>
      <c r="U610" s="14">
        <v>5505</v>
      </c>
      <c r="V610" s="14">
        <v>13</v>
      </c>
      <c r="W610" s="16">
        <v>1.7792643674821412E-5</v>
      </c>
      <c r="X610" s="16">
        <v>2.3543388654259903E-5</v>
      </c>
    </row>
    <row r="611" spans="1:24" x14ac:dyDescent="0.2">
      <c r="A611" t="s">
        <v>14</v>
      </c>
      <c r="B611" s="35" t="s">
        <v>19</v>
      </c>
      <c r="C611" t="s">
        <v>42</v>
      </c>
      <c r="D611" t="s">
        <v>109</v>
      </c>
      <c r="E611" t="s">
        <v>599</v>
      </c>
      <c r="F611" t="s">
        <v>599</v>
      </c>
      <c r="H611" t="s">
        <v>1670</v>
      </c>
      <c r="I611" t="s">
        <v>1670</v>
      </c>
      <c r="J611" t="s">
        <v>1674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f>N611-K611</f>
        <v>0</v>
      </c>
      <c r="R611">
        <f>O611-L611</f>
        <v>0</v>
      </c>
      <c r="S611">
        <f>P611-M611</f>
        <v>0</v>
      </c>
      <c r="T611">
        <v>3</v>
      </c>
      <c r="U611" s="14">
        <v>5481.04</v>
      </c>
      <c r="V611" s="14">
        <v>16</v>
      </c>
      <c r="W611" s="16">
        <v>1.7715202849671782E-5</v>
      </c>
      <c r="X611" s="16">
        <v>2.8976478343704499E-5</v>
      </c>
    </row>
    <row r="612" spans="1:24" x14ac:dyDescent="0.2">
      <c r="A612" t="s">
        <v>17</v>
      </c>
      <c r="B612" s="35" t="s">
        <v>19</v>
      </c>
      <c r="C612" t="s">
        <v>52</v>
      </c>
      <c r="D612" t="s">
        <v>140</v>
      </c>
      <c r="E612" t="s">
        <v>511</v>
      </c>
      <c r="F612" t="s">
        <v>1129</v>
      </c>
      <c r="H612" t="s">
        <v>1670</v>
      </c>
      <c r="I612" t="s">
        <v>1670</v>
      </c>
      <c r="J612" t="s">
        <v>1674</v>
      </c>
      <c r="K612">
        <v>2</v>
      </c>
      <c r="L612">
        <v>0</v>
      </c>
      <c r="M612">
        <v>2</v>
      </c>
      <c r="N612">
        <v>2</v>
      </c>
      <c r="O612">
        <v>0</v>
      </c>
      <c r="P612">
        <v>2</v>
      </c>
      <c r="Q612">
        <f>N612-K612</f>
        <v>0</v>
      </c>
      <c r="R612">
        <f>O612-L612</f>
        <v>0</v>
      </c>
      <c r="S612">
        <f>P612-M612</f>
        <v>0</v>
      </c>
      <c r="T612">
        <v>5</v>
      </c>
      <c r="U612" s="14">
        <v>5076</v>
      </c>
      <c r="V612" s="14">
        <v>16</v>
      </c>
      <c r="W612" s="16">
        <v>1.6406077982451133E-5</v>
      </c>
      <c r="X612" s="16">
        <v>2.8976478343704499E-5</v>
      </c>
    </row>
    <row r="613" spans="1:24" x14ac:dyDescent="0.2">
      <c r="A613" t="s">
        <v>17</v>
      </c>
      <c r="B613" t="s">
        <v>24</v>
      </c>
      <c r="C613" t="s">
        <v>49</v>
      </c>
      <c r="D613" t="s">
        <v>133</v>
      </c>
      <c r="E613" t="s">
        <v>489</v>
      </c>
      <c r="F613" t="s">
        <v>1092</v>
      </c>
      <c r="H613" t="s">
        <v>1670</v>
      </c>
      <c r="I613" t="s">
        <v>1670</v>
      </c>
      <c r="J613" t="s">
        <v>1674</v>
      </c>
      <c r="K613">
        <v>3</v>
      </c>
      <c r="L613">
        <v>0</v>
      </c>
      <c r="M613">
        <v>3</v>
      </c>
      <c r="N613">
        <v>0</v>
      </c>
      <c r="O613">
        <v>0</v>
      </c>
      <c r="P613">
        <v>0</v>
      </c>
      <c r="Q613">
        <f>N613-K613</f>
        <v>-3</v>
      </c>
      <c r="R613">
        <f>O613-L613</f>
        <v>0</v>
      </c>
      <c r="S613">
        <f>P613-M613</f>
        <v>-3</v>
      </c>
      <c r="T613">
        <v>1</v>
      </c>
      <c r="U613" s="14">
        <v>5039</v>
      </c>
      <c r="V613" s="14">
        <v>4</v>
      </c>
      <c r="W613" s="16">
        <v>1.6286490731594022E-5</v>
      </c>
      <c r="X613" s="16">
        <v>7.2441195859261247E-6</v>
      </c>
    </row>
    <row r="614" spans="1:24" x14ac:dyDescent="0.2">
      <c r="A614" t="s">
        <v>13</v>
      </c>
      <c r="B614" t="s">
        <v>22</v>
      </c>
      <c r="C614" t="s">
        <v>46</v>
      </c>
      <c r="D614" t="s">
        <v>170</v>
      </c>
      <c r="E614" t="s">
        <v>616</v>
      </c>
      <c r="F614" t="s">
        <v>1410</v>
      </c>
      <c r="H614" t="s">
        <v>1670</v>
      </c>
      <c r="I614" t="s">
        <v>1671</v>
      </c>
      <c r="J614" t="s">
        <v>1674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f>N614-K614</f>
        <v>0</v>
      </c>
      <c r="R614">
        <f>O614-L614</f>
        <v>0</v>
      </c>
      <c r="S614">
        <f>P614-M614</f>
        <v>0</v>
      </c>
      <c r="T614">
        <v>6</v>
      </c>
      <c r="U614" s="14">
        <v>4814.79</v>
      </c>
      <c r="V614" s="14">
        <v>9</v>
      </c>
      <c r="W614" s="16">
        <v>1.5561824312278543E-5</v>
      </c>
      <c r="X614" s="16">
        <v>1.629926906833378E-5</v>
      </c>
    </row>
    <row r="615" spans="1:24" x14ac:dyDescent="0.2">
      <c r="A615" t="s">
        <v>16</v>
      </c>
      <c r="B615" t="s">
        <v>22</v>
      </c>
      <c r="C615" t="s">
        <v>39</v>
      </c>
      <c r="D615" t="s">
        <v>156</v>
      </c>
      <c r="E615" t="s">
        <v>655</v>
      </c>
      <c r="F615" t="s">
        <v>1527</v>
      </c>
      <c r="H615" t="s">
        <v>1670</v>
      </c>
      <c r="I615" t="s">
        <v>1670</v>
      </c>
      <c r="J615" t="s">
        <v>1674</v>
      </c>
      <c r="K615">
        <v>0</v>
      </c>
      <c r="L615">
        <v>0</v>
      </c>
      <c r="M615">
        <v>0</v>
      </c>
      <c r="N615">
        <v>2</v>
      </c>
      <c r="O615">
        <v>0</v>
      </c>
      <c r="P615">
        <v>2</v>
      </c>
      <c r="Q615">
        <f>N615-K615</f>
        <v>2</v>
      </c>
      <c r="R615">
        <f>O615-L615</f>
        <v>0</v>
      </c>
      <c r="S615">
        <f>P615-M615</f>
        <v>2</v>
      </c>
      <c r="T615">
        <v>3</v>
      </c>
      <c r="U615" s="14">
        <v>4591.33</v>
      </c>
      <c r="V615" s="14">
        <v>52</v>
      </c>
      <c r="W615" s="16">
        <v>1.4839581958858819E-5</v>
      </c>
      <c r="X615" s="16">
        <v>9.4173554617039612E-5</v>
      </c>
    </row>
    <row r="616" spans="1:24" x14ac:dyDescent="0.2">
      <c r="A616" t="s">
        <v>16</v>
      </c>
      <c r="B616" t="s">
        <v>22</v>
      </c>
      <c r="C616" t="s">
        <v>39</v>
      </c>
      <c r="D616" t="s">
        <v>106</v>
      </c>
      <c r="E616" t="s">
        <v>652</v>
      </c>
      <c r="F616" t="s">
        <v>1520</v>
      </c>
      <c r="H616" t="s">
        <v>1670</v>
      </c>
      <c r="I616" t="s">
        <v>1670</v>
      </c>
      <c r="J616" t="s">
        <v>1674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f>N616-K616</f>
        <v>0</v>
      </c>
      <c r="R616">
        <f>O616-L616</f>
        <v>0</v>
      </c>
      <c r="S616">
        <f>P616-M616</f>
        <v>0</v>
      </c>
      <c r="T616">
        <v>3</v>
      </c>
      <c r="U616" s="14">
        <v>4466.78</v>
      </c>
      <c r="V616" s="14">
        <v>35</v>
      </c>
      <c r="W616" s="16">
        <v>1.4437025415770895E-5</v>
      </c>
      <c r="X616" s="16">
        <v>6.338604637685359E-5</v>
      </c>
    </row>
    <row r="617" spans="1:24" x14ac:dyDescent="0.2">
      <c r="A617" t="s">
        <v>16</v>
      </c>
      <c r="B617" t="s">
        <v>22</v>
      </c>
      <c r="C617" t="s">
        <v>39</v>
      </c>
      <c r="D617" t="s">
        <v>162</v>
      </c>
      <c r="E617" t="s">
        <v>456</v>
      </c>
      <c r="F617" t="s">
        <v>1036</v>
      </c>
      <c r="H617" t="s">
        <v>1670</v>
      </c>
      <c r="I617" t="s">
        <v>1670</v>
      </c>
      <c r="J617" t="s">
        <v>1674</v>
      </c>
      <c r="K617">
        <v>2</v>
      </c>
      <c r="L617">
        <v>0</v>
      </c>
      <c r="M617">
        <v>2</v>
      </c>
      <c r="N617">
        <v>6</v>
      </c>
      <c r="O617">
        <v>0</v>
      </c>
      <c r="P617">
        <v>6</v>
      </c>
      <c r="Q617">
        <f>N617-K617</f>
        <v>4</v>
      </c>
      <c r="R617">
        <f>O617-L617</f>
        <v>0</v>
      </c>
      <c r="S617">
        <f>P617-M617</f>
        <v>4</v>
      </c>
      <c r="T617">
        <v>6</v>
      </c>
      <c r="U617" s="14">
        <v>4193.4799999999996</v>
      </c>
      <c r="V617" s="14">
        <v>13</v>
      </c>
      <c r="W617" s="16">
        <v>1.355369580335878E-5</v>
      </c>
      <c r="X617" s="16">
        <v>2.3543388654259903E-5</v>
      </c>
    </row>
    <row r="618" spans="1:24" x14ac:dyDescent="0.2">
      <c r="A618" t="s">
        <v>14</v>
      </c>
      <c r="B618" s="35" t="s">
        <v>19</v>
      </c>
      <c r="C618" t="s">
        <v>48</v>
      </c>
      <c r="D618" t="s">
        <v>130</v>
      </c>
      <c r="E618" t="s">
        <v>594</v>
      </c>
      <c r="F618" t="s">
        <v>1391</v>
      </c>
      <c r="H618" t="s">
        <v>1670</v>
      </c>
      <c r="I618" t="s">
        <v>1670</v>
      </c>
      <c r="J618" t="s">
        <v>1674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f>N618-K618</f>
        <v>0</v>
      </c>
      <c r="R618">
        <f>O618-L618</f>
        <v>0</v>
      </c>
      <c r="S618">
        <f>P618-M618</f>
        <v>0</v>
      </c>
      <c r="T618">
        <v>5</v>
      </c>
      <c r="U618" s="14">
        <v>4181</v>
      </c>
      <c r="V618" s="14">
        <v>34</v>
      </c>
      <c r="W618" s="16">
        <v>1.3513359346853464E-5</v>
      </c>
      <c r="X618" s="16">
        <v>6.1575016480372059E-5</v>
      </c>
    </row>
    <row r="619" spans="1:24" x14ac:dyDescent="0.2">
      <c r="A619" t="s">
        <v>14</v>
      </c>
      <c r="B619" t="s">
        <v>22</v>
      </c>
      <c r="C619" t="s">
        <v>46</v>
      </c>
      <c r="D619" t="s">
        <v>122</v>
      </c>
      <c r="E619" t="s">
        <v>366</v>
      </c>
      <c r="F619" t="s">
        <v>876</v>
      </c>
      <c r="H619" t="s">
        <v>1670</v>
      </c>
      <c r="I619" t="s">
        <v>1670</v>
      </c>
      <c r="J619" t="s">
        <v>1674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0</v>
      </c>
      <c r="Q619">
        <f>N619-K619</f>
        <v>-1</v>
      </c>
      <c r="R619">
        <f>O619-L619</f>
        <v>0</v>
      </c>
      <c r="S619">
        <f>P619-M619</f>
        <v>-1</v>
      </c>
      <c r="T619">
        <v>3</v>
      </c>
      <c r="U619" s="14">
        <v>4124.5200000000004</v>
      </c>
      <c r="V619" s="14">
        <v>30</v>
      </c>
      <c r="W619" s="16">
        <v>1.3330811024464019E-5</v>
      </c>
      <c r="X619" s="16">
        <v>5.4330896894445936E-5</v>
      </c>
    </row>
    <row r="620" spans="1:24" x14ac:dyDescent="0.2">
      <c r="A620" t="s">
        <v>16</v>
      </c>
      <c r="B620" t="s">
        <v>22</v>
      </c>
      <c r="C620" t="s">
        <v>39</v>
      </c>
      <c r="D620" t="s">
        <v>156</v>
      </c>
      <c r="E620" t="s">
        <v>437</v>
      </c>
      <c r="F620" t="s">
        <v>1513</v>
      </c>
      <c r="H620" t="s">
        <v>1670</v>
      </c>
      <c r="I620" t="s">
        <v>1670</v>
      </c>
      <c r="J620" t="s">
        <v>1674</v>
      </c>
      <c r="K620">
        <v>0</v>
      </c>
      <c r="L620">
        <v>0</v>
      </c>
      <c r="M620">
        <v>0</v>
      </c>
      <c r="N620">
        <v>3</v>
      </c>
      <c r="O620">
        <v>0</v>
      </c>
      <c r="P620">
        <v>3</v>
      </c>
      <c r="Q620">
        <f>N620-K620</f>
        <v>3</v>
      </c>
      <c r="R620">
        <f>O620-L620</f>
        <v>0</v>
      </c>
      <c r="S620">
        <f>P620-M620</f>
        <v>3</v>
      </c>
      <c r="T620">
        <v>2</v>
      </c>
      <c r="U620" s="14">
        <v>3931</v>
      </c>
      <c r="V620" s="14">
        <v>8</v>
      </c>
      <c r="W620" s="16">
        <v>1.270533738160272E-5</v>
      </c>
      <c r="X620" s="16">
        <v>1.4488239171852249E-5</v>
      </c>
    </row>
    <row r="621" spans="1:24" x14ac:dyDescent="0.2">
      <c r="A621" t="s">
        <v>13</v>
      </c>
      <c r="B621" s="35" t="s">
        <v>19</v>
      </c>
      <c r="C621" t="s">
        <v>27</v>
      </c>
      <c r="D621" t="s">
        <v>105</v>
      </c>
      <c r="E621" t="s">
        <v>342</v>
      </c>
      <c r="F621" t="s">
        <v>1640</v>
      </c>
      <c r="H621" t="s">
        <v>1670</v>
      </c>
      <c r="I621" t="s">
        <v>1670</v>
      </c>
      <c r="J621" t="s">
        <v>1674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f>N621-K621</f>
        <v>0</v>
      </c>
      <c r="R621">
        <f>O621-L621</f>
        <v>0</v>
      </c>
      <c r="S621">
        <f>P621-M621</f>
        <v>0</v>
      </c>
      <c r="T621">
        <v>3</v>
      </c>
      <c r="U621" s="14">
        <v>3803</v>
      </c>
      <c r="V621" s="14">
        <v>6</v>
      </c>
      <c r="W621" s="16">
        <v>1.2291630135394339E-5</v>
      </c>
      <c r="X621" s="16">
        <v>1.0866179378889186E-5</v>
      </c>
    </row>
    <row r="622" spans="1:24" x14ac:dyDescent="0.2">
      <c r="A622" t="s">
        <v>14</v>
      </c>
      <c r="B622" s="35" t="s">
        <v>19</v>
      </c>
      <c r="C622" t="s">
        <v>48</v>
      </c>
      <c r="D622" t="s">
        <v>130</v>
      </c>
      <c r="E622" t="s">
        <v>372</v>
      </c>
      <c r="F622" t="s">
        <v>1571</v>
      </c>
      <c r="H622" t="s">
        <v>1670</v>
      </c>
      <c r="I622" t="s">
        <v>1670</v>
      </c>
      <c r="J622" t="s">
        <v>1674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f>N622-K622</f>
        <v>0</v>
      </c>
      <c r="R622">
        <f>O622-L622</f>
        <v>0</v>
      </c>
      <c r="S622">
        <f>P622-M622</f>
        <v>0</v>
      </c>
      <c r="T622">
        <v>3</v>
      </c>
      <c r="U622" s="14">
        <v>3799</v>
      </c>
      <c r="V622" s="14">
        <v>13</v>
      </c>
      <c r="W622" s="16">
        <v>1.2278701783950325E-5</v>
      </c>
      <c r="X622" s="16">
        <v>2.3543388654259903E-5</v>
      </c>
    </row>
    <row r="623" spans="1:24" x14ac:dyDescent="0.2">
      <c r="A623" t="s">
        <v>16</v>
      </c>
      <c r="B623" t="s">
        <v>22</v>
      </c>
      <c r="C623" t="s">
        <v>39</v>
      </c>
      <c r="D623" t="s">
        <v>162</v>
      </c>
      <c r="E623" t="s">
        <v>456</v>
      </c>
      <c r="F623" t="s">
        <v>1499</v>
      </c>
      <c r="H623" t="s">
        <v>1670</v>
      </c>
      <c r="I623" t="s">
        <v>1670</v>
      </c>
      <c r="J623" t="s">
        <v>1674</v>
      </c>
      <c r="K623">
        <v>0</v>
      </c>
      <c r="L623">
        <v>0</v>
      </c>
      <c r="M623">
        <v>0</v>
      </c>
      <c r="N623">
        <v>6</v>
      </c>
      <c r="O623">
        <v>0</v>
      </c>
      <c r="P623">
        <v>6</v>
      </c>
      <c r="Q623">
        <f>N623-K623</f>
        <v>6</v>
      </c>
      <c r="R623">
        <f>O623-L623</f>
        <v>0</v>
      </c>
      <c r="S623">
        <f>P623-M623</f>
        <v>6</v>
      </c>
      <c r="T623">
        <v>11</v>
      </c>
      <c r="U623" s="14">
        <v>3766.89</v>
      </c>
      <c r="V623" s="14">
        <v>39</v>
      </c>
      <c r="W623" s="16">
        <v>1.217491944273352E-5</v>
      </c>
      <c r="X623" s="16">
        <v>7.0630165962779713E-5</v>
      </c>
    </row>
    <row r="624" spans="1:24" x14ac:dyDescent="0.2">
      <c r="A624" t="s">
        <v>17</v>
      </c>
      <c r="B624" t="s">
        <v>24</v>
      </c>
      <c r="C624" t="s">
        <v>49</v>
      </c>
      <c r="D624" t="s">
        <v>178</v>
      </c>
      <c r="E624" t="s">
        <v>654</v>
      </c>
      <c r="F624" t="s">
        <v>1524</v>
      </c>
      <c r="H624" t="s">
        <v>1669</v>
      </c>
      <c r="I624" t="s">
        <v>1672</v>
      </c>
      <c r="J624" t="s">
        <v>1674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f>N624-K624</f>
        <v>0</v>
      </c>
      <c r="R624">
        <f>O624-L624</f>
        <v>0</v>
      </c>
      <c r="S624">
        <f>P624-M624</f>
        <v>0</v>
      </c>
      <c r="T624">
        <v>0</v>
      </c>
      <c r="U624" s="14">
        <v>0</v>
      </c>
      <c r="V624" s="14">
        <v>0</v>
      </c>
      <c r="W624" s="16">
        <v>0</v>
      </c>
      <c r="X624" s="16">
        <v>0</v>
      </c>
    </row>
    <row r="625" spans="1:24" x14ac:dyDescent="0.2">
      <c r="A625" t="s">
        <v>16</v>
      </c>
      <c r="B625" t="s">
        <v>22</v>
      </c>
      <c r="C625" t="s">
        <v>39</v>
      </c>
      <c r="D625" t="s">
        <v>106</v>
      </c>
      <c r="E625" t="s">
        <v>452</v>
      </c>
      <c r="F625" t="s">
        <v>1028</v>
      </c>
      <c r="H625" t="s">
        <v>1670</v>
      </c>
      <c r="I625" t="s">
        <v>1670</v>
      </c>
      <c r="J625" t="s">
        <v>1674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f>N625-K625</f>
        <v>-1</v>
      </c>
      <c r="R625">
        <f>O625-L625</f>
        <v>0</v>
      </c>
      <c r="S625">
        <f>P625-M625</f>
        <v>-1</v>
      </c>
      <c r="T625">
        <v>3</v>
      </c>
      <c r="U625" s="14">
        <v>3723</v>
      </c>
      <c r="V625" s="14">
        <v>7</v>
      </c>
      <c r="W625" s="16">
        <v>1.2033063106514099E-5</v>
      </c>
      <c r="X625" s="16">
        <v>1.2677209275370719E-5</v>
      </c>
    </row>
    <row r="626" spans="1:24" x14ac:dyDescent="0.2">
      <c r="A626" t="s">
        <v>17</v>
      </c>
      <c r="B626" s="35" t="s">
        <v>19</v>
      </c>
      <c r="C626" t="s">
        <v>52</v>
      </c>
      <c r="D626" t="s">
        <v>140</v>
      </c>
      <c r="E626" t="s">
        <v>510</v>
      </c>
      <c r="F626" t="s">
        <v>1125</v>
      </c>
      <c r="H626" t="s">
        <v>1670</v>
      </c>
      <c r="I626" t="s">
        <v>1670</v>
      </c>
      <c r="J626" t="s">
        <v>1674</v>
      </c>
      <c r="K626">
        <v>3</v>
      </c>
      <c r="L626">
        <v>0</v>
      </c>
      <c r="M626">
        <v>3</v>
      </c>
      <c r="N626">
        <v>3</v>
      </c>
      <c r="O626">
        <v>0</v>
      </c>
      <c r="P626">
        <v>3</v>
      </c>
      <c r="Q626">
        <f>N626-K626</f>
        <v>0</v>
      </c>
      <c r="R626">
        <f>O626-L626</f>
        <v>0</v>
      </c>
      <c r="S626">
        <f>P626-M626</f>
        <v>0</v>
      </c>
      <c r="T626">
        <v>2</v>
      </c>
      <c r="U626" s="14">
        <v>3695.61</v>
      </c>
      <c r="V626" s="14">
        <v>26</v>
      </c>
      <c r="W626" s="16">
        <v>1.1944536220001228E-5</v>
      </c>
      <c r="X626" s="16">
        <v>4.7086777308519806E-5</v>
      </c>
    </row>
    <row r="627" spans="1:24" x14ac:dyDescent="0.2">
      <c r="A627" t="s">
        <v>17</v>
      </c>
      <c r="B627" t="s">
        <v>24</v>
      </c>
      <c r="C627" t="s">
        <v>49</v>
      </c>
      <c r="D627" t="s">
        <v>179</v>
      </c>
      <c r="E627" t="s">
        <v>493</v>
      </c>
      <c r="F627" t="s">
        <v>1096</v>
      </c>
      <c r="H627" t="s">
        <v>1670</v>
      </c>
      <c r="I627" t="s">
        <v>1670</v>
      </c>
      <c r="J627" t="s">
        <v>1674</v>
      </c>
      <c r="K627">
        <v>2</v>
      </c>
      <c r="L627">
        <v>0</v>
      </c>
      <c r="M627">
        <v>2</v>
      </c>
      <c r="N627">
        <v>0</v>
      </c>
      <c r="O627">
        <v>0</v>
      </c>
      <c r="P627">
        <v>0</v>
      </c>
      <c r="Q627">
        <f>N627-K627</f>
        <v>-2</v>
      </c>
      <c r="R627">
        <f>O627-L627</f>
        <v>0</v>
      </c>
      <c r="S627">
        <f>P627-M627</f>
        <v>-2</v>
      </c>
      <c r="T627">
        <v>2</v>
      </c>
      <c r="U627" s="14">
        <v>3528</v>
      </c>
      <c r="V627" s="14">
        <v>2</v>
      </c>
      <c r="W627" s="16">
        <v>1.1402805973618519E-5</v>
      </c>
      <c r="X627" s="16">
        <v>3.6220597929630623E-6</v>
      </c>
    </row>
    <row r="628" spans="1:24" x14ac:dyDescent="0.2">
      <c r="A628" t="s">
        <v>14</v>
      </c>
      <c r="B628" s="35" t="s">
        <v>19</v>
      </c>
      <c r="C628" t="s">
        <v>48</v>
      </c>
      <c r="D628" t="s">
        <v>130</v>
      </c>
      <c r="E628" t="s">
        <v>372</v>
      </c>
      <c r="F628" t="s">
        <v>1466</v>
      </c>
      <c r="H628" t="s">
        <v>1670</v>
      </c>
      <c r="I628" t="s">
        <v>1670</v>
      </c>
      <c r="J628" t="s">
        <v>1674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f>N628-K628</f>
        <v>0</v>
      </c>
      <c r="R628">
        <f>O628-L628</f>
        <v>0</v>
      </c>
      <c r="S628">
        <f>P628-M628</f>
        <v>0</v>
      </c>
      <c r="T628">
        <v>4</v>
      </c>
      <c r="U628" s="14">
        <v>3405.1800000000003</v>
      </c>
      <c r="V628" s="14">
        <v>56</v>
      </c>
      <c r="W628" s="16">
        <v>1.1005840942530134E-5</v>
      </c>
      <c r="X628" s="16">
        <v>1.0141767420296575E-4</v>
      </c>
    </row>
    <row r="629" spans="1:24" x14ac:dyDescent="0.2">
      <c r="A629" t="s">
        <v>16</v>
      </c>
      <c r="B629" t="s">
        <v>22</v>
      </c>
      <c r="C629" t="s">
        <v>39</v>
      </c>
      <c r="D629" t="s">
        <v>162</v>
      </c>
      <c r="E629" t="s">
        <v>456</v>
      </c>
      <c r="F629" t="s">
        <v>1458</v>
      </c>
      <c r="H629" t="s">
        <v>1670</v>
      </c>
      <c r="I629" t="s">
        <v>1670</v>
      </c>
      <c r="J629" t="s">
        <v>1674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f>N629-K629</f>
        <v>0</v>
      </c>
      <c r="R629">
        <f>O629-L629</f>
        <v>0</v>
      </c>
      <c r="S629">
        <f>P629-M629</f>
        <v>0</v>
      </c>
      <c r="T629">
        <v>10</v>
      </c>
      <c r="U629" s="14">
        <v>3350.9300000000003</v>
      </c>
      <c r="V629" s="14">
        <v>49</v>
      </c>
      <c r="W629" s="16">
        <v>1.0830500176070722E-5</v>
      </c>
      <c r="X629" s="16">
        <v>8.874046492759502E-5</v>
      </c>
    </row>
    <row r="630" spans="1:24" x14ac:dyDescent="0.2">
      <c r="A630" t="s">
        <v>16</v>
      </c>
      <c r="B630" t="s">
        <v>22</v>
      </c>
      <c r="C630" t="s">
        <v>39</v>
      </c>
      <c r="D630" t="s">
        <v>156</v>
      </c>
      <c r="E630" t="s">
        <v>435</v>
      </c>
      <c r="F630" t="s">
        <v>996</v>
      </c>
      <c r="H630" t="s">
        <v>1670</v>
      </c>
      <c r="I630" t="s">
        <v>1670</v>
      </c>
      <c r="J630" t="s">
        <v>1674</v>
      </c>
      <c r="K630">
        <v>1</v>
      </c>
      <c r="L630">
        <v>0</v>
      </c>
      <c r="M630">
        <v>1</v>
      </c>
      <c r="N630">
        <v>2</v>
      </c>
      <c r="O630">
        <v>0</v>
      </c>
      <c r="P630">
        <v>2</v>
      </c>
      <c r="Q630">
        <f>N630-K630</f>
        <v>1</v>
      </c>
      <c r="R630">
        <f>O630-L630</f>
        <v>0</v>
      </c>
      <c r="S630">
        <f>P630-M630</f>
        <v>1</v>
      </c>
      <c r="T630">
        <v>1</v>
      </c>
      <c r="U630" s="14">
        <v>3331.4</v>
      </c>
      <c r="V630" s="14">
        <v>40</v>
      </c>
      <c r="W630" s="16">
        <v>1.0767377500145332E-5</v>
      </c>
      <c r="X630" s="16">
        <v>7.2441195859261243E-5</v>
      </c>
    </row>
    <row r="631" spans="1:24" x14ac:dyDescent="0.2">
      <c r="A631" t="s">
        <v>12</v>
      </c>
      <c r="B631" t="s">
        <v>18</v>
      </c>
      <c r="C631" t="s">
        <v>32</v>
      </c>
      <c r="D631" t="s">
        <v>209</v>
      </c>
      <c r="E631" t="s">
        <v>593</v>
      </c>
      <c r="F631" t="s">
        <v>1535</v>
      </c>
      <c r="H631" t="s">
        <v>1669</v>
      </c>
      <c r="I631" t="s">
        <v>1671</v>
      </c>
      <c r="J631" t="s">
        <v>1674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f>N631-K631</f>
        <v>0</v>
      </c>
      <c r="R631">
        <f>O631-L631</f>
        <v>0</v>
      </c>
      <c r="S631">
        <f>P631-M631</f>
        <v>0</v>
      </c>
      <c r="T631">
        <v>255</v>
      </c>
      <c r="U631" s="14">
        <v>3740357.9899999998</v>
      </c>
      <c r="V631" s="14">
        <v>1148</v>
      </c>
      <c r="W631" s="16">
        <v>1.208916565528451E-2</v>
      </c>
      <c r="X631" s="16">
        <v>2.0790623211607976E-3</v>
      </c>
    </row>
    <row r="632" spans="1:24" x14ac:dyDescent="0.2">
      <c r="A632" t="s">
        <v>12</v>
      </c>
      <c r="B632" t="s">
        <v>18</v>
      </c>
      <c r="C632" t="s">
        <v>26</v>
      </c>
      <c r="D632" t="s">
        <v>63</v>
      </c>
      <c r="E632" t="s">
        <v>658</v>
      </c>
      <c r="F632" t="s">
        <v>658</v>
      </c>
      <c r="H632" t="s">
        <v>1669</v>
      </c>
      <c r="I632" t="s">
        <v>1670</v>
      </c>
      <c r="J632" t="s">
        <v>1674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f>N632-K632</f>
        <v>0</v>
      </c>
      <c r="R632">
        <f>O632-L632</f>
        <v>0</v>
      </c>
      <c r="S632">
        <f>P632-M632</f>
        <v>0</v>
      </c>
      <c r="T632">
        <v>177</v>
      </c>
      <c r="U632" s="14">
        <v>1850528.1300000004</v>
      </c>
      <c r="V632" s="14">
        <v>2995</v>
      </c>
      <c r="W632" s="16">
        <v>5.9810695054175484E-3</v>
      </c>
      <c r="X632" s="16">
        <v>5.4240345399621855E-3</v>
      </c>
    </row>
    <row r="633" spans="1:24" x14ac:dyDescent="0.2">
      <c r="A633" t="s">
        <v>12</v>
      </c>
      <c r="B633" t="s">
        <v>18</v>
      </c>
      <c r="C633" t="s">
        <v>32</v>
      </c>
      <c r="D633" t="s">
        <v>209</v>
      </c>
      <c r="E633" t="s">
        <v>593</v>
      </c>
      <c r="F633" t="s">
        <v>1536</v>
      </c>
      <c r="H633" t="s">
        <v>1669</v>
      </c>
      <c r="I633" t="s">
        <v>1671</v>
      </c>
      <c r="J633" t="s">
        <v>1674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f>N633-K633</f>
        <v>0</v>
      </c>
      <c r="R633">
        <f>O633-L633</f>
        <v>0</v>
      </c>
      <c r="S633">
        <f>P633-M633</f>
        <v>0</v>
      </c>
      <c r="T633">
        <v>138</v>
      </c>
      <c r="U633" s="14">
        <v>1851363.51</v>
      </c>
      <c r="V633" s="14">
        <v>353</v>
      </c>
      <c r="W633" s="16">
        <v>5.9837695269748716E-3</v>
      </c>
      <c r="X633" s="16">
        <v>6.3929355345798049E-4</v>
      </c>
    </row>
    <row r="634" spans="1:24" x14ac:dyDescent="0.2">
      <c r="A634" t="s">
        <v>17</v>
      </c>
      <c r="B634" t="s">
        <v>23</v>
      </c>
      <c r="C634" t="s">
        <v>45</v>
      </c>
      <c r="D634" t="s">
        <v>208</v>
      </c>
      <c r="E634" t="s">
        <v>659</v>
      </c>
      <c r="F634" t="s">
        <v>1537</v>
      </c>
      <c r="H634" t="s">
        <v>1669</v>
      </c>
      <c r="I634" t="s">
        <v>1671</v>
      </c>
      <c r="J634" t="s">
        <v>1674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f>N634-K634</f>
        <v>0</v>
      </c>
      <c r="R634">
        <f>O634-L634</f>
        <v>0</v>
      </c>
      <c r="S634">
        <f>P634-M634</f>
        <v>0</v>
      </c>
      <c r="T634">
        <v>3604</v>
      </c>
      <c r="U634" s="14">
        <v>18020340.139999993</v>
      </c>
      <c r="V634" s="14">
        <v>5814</v>
      </c>
      <c r="W634" s="16">
        <v>5.8243322617638746E-2</v>
      </c>
      <c r="X634" s="16">
        <v>1.0529327818143622E-2</v>
      </c>
    </row>
    <row r="635" spans="1:24" x14ac:dyDescent="0.2">
      <c r="A635" t="s">
        <v>17</v>
      </c>
      <c r="B635" t="s">
        <v>23</v>
      </c>
      <c r="C635" t="s">
        <v>60</v>
      </c>
      <c r="D635" t="s">
        <v>175</v>
      </c>
      <c r="E635" t="s">
        <v>480</v>
      </c>
      <c r="F635" t="s">
        <v>1539</v>
      </c>
      <c r="H635" t="s">
        <v>1669</v>
      </c>
      <c r="I635" t="s">
        <v>1671</v>
      </c>
      <c r="J635" t="s">
        <v>1674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f>N635-K635</f>
        <v>0</v>
      </c>
      <c r="R635">
        <f>O635-L635</f>
        <v>0</v>
      </c>
      <c r="S635">
        <f>P635-M635</f>
        <v>0</v>
      </c>
      <c r="T635">
        <v>1343</v>
      </c>
      <c r="U635" s="14">
        <v>2791569.9499999955</v>
      </c>
      <c r="V635" s="14">
        <v>2389</v>
      </c>
      <c r="W635" s="16">
        <v>9.0225993485356856E-3</v>
      </c>
      <c r="X635" s="16">
        <v>4.326550422694378E-3</v>
      </c>
    </row>
    <row r="636" spans="1:24" x14ac:dyDescent="0.2">
      <c r="A636" t="s">
        <v>13</v>
      </c>
      <c r="B636" t="s">
        <v>22</v>
      </c>
      <c r="C636" t="s">
        <v>46</v>
      </c>
      <c r="D636" t="s">
        <v>170</v>
      </c>
      <c r="E636" t="s">
        <v>468</v>
      </c>
      <c r="F636" t="s">
        <v>1407</v>
      </c>
      <c r="H636" t="s">
        <v>1670</v>
      </c>
      <c r="I636" t="s">
        <v>1671</v>
      </c>
      <c r="J636" t="s">
        <v>1674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f>N636-K636</f>
        <v>0</v>
      </c>
      <c r="R636">
        <f>O636-L636</f>
        <v>0</v>
      </c>
      <c r="S636">
        <f>P636-M636</f>
        <v>0</v>
      </c>
      <c r="T636">
        <v>1</v>
      </c>
      <c r="U636" s="14">
        <v>3208.1</v>
      </c>
      <c r="V636" s="14">
        <v>17</v>
      </c>
      <c r="W636" s="16">
        <v>1.0368861066883665E-5</v>
      </c>
      <c r="X636" s="16">
        <v>3.0787508240186029E-5</v>
      </c>
    </row>
    <row r="637" spans="1:24" x14ac:dyDescent="0.2">
      <c r="A637" t="s">
        <v>17</v>
      </c>
      <c r="B637" t="s">
        <v>23</v>
      </c>
      <c r="C637" t="s">
        <v>60</v>
      </c>
      <c r="D637" t="s">
        <v>175</v>
      </c>
      <c r="E637" t="s">
        <v>480</v>
      </c>
      <c r="F637" t="s">
        <v>1541</v>
      </c>
      <c r="H637" t="s">
        <v>1669</v>
      </c>
      <c r="I637" t="s">
        <v>1671</v>
      </c>
      <c r="J637" t="s">
        <v>1674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f>N637-K637</f>
        <v>0</v>
      </c>
      <c r="R637">
        <f>O637-L637</f>
        <v>0</v>
      </c>
      <c r="S637">
        <f>P637-M637</f>
        <v>0</v>
      </c>
      <c r="T637">
        <v>338</v>
      </c>
      <c r="U637" s="14">
        <v>467154.99000000022</v>
      </c>
      <c r="V637" s="14">
        <v>1322</v>
      </c>
      <c r="W637" s="16">
        <v>1.5098859723859698E-3</v>
      </c>
      <c r="X637" s="16">
        <v>2.3941815231485843E-3</v>
      </c>
    </row>
    <row r="638" spans="1:24" x14ac:dyDescent="0.2">
      <c r="A638" t="s">
        <v>17</v>
      </c>
      <c r="B638" t="s">
        <v>23</v>
      </c>
      <c r="C638" t="s">
        <v>60</v>
      </c>
      <c r="D638" t="s">
        <v>175</v>
      </c>
      <c r="E638" t="s">
        <v>481</v>
      </c>
      <c r="F638" t="s">
        <v>1542</v>
      </c>
      <c r="H638" t="s">
        <v>1669</v>
      </c>
      <c r="I638" t="s">
        <v>1670</v>
      </c>
      <c r="J638" t="s">
        <v>1674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f>N638-K638</f>
        <v>0</v>
      </c>
      <c r="R638">
        <f>O638-L638</f>
        <v>0</v>
      </c>
      <c r="S638">
        <f>P638-M638</f>
        <v>0</v>
      </c>
      <c r="T638">
        <v>63</v>
      </c>
      <c r="U638" s="14">
        <v>134034.07000000004</v>
      </c>
      <c r="V638" s="14">
        <v>184</v>
      </c>
      <c r="W638" s="16">
        <v>4.3320989060782397E-4</v>
      </c>
      <c r="X638" s="16">
        <v>3.3322950095260171E-4</v>
      </c>
    </row>
    <row r="639" spans="1:24" x14ac:dyDescent="0.2">
      <c r="A639" t="s">
        <v>12</v>
      </c>
      <c r="B639" t="s">
        <v>18</v>
      </c>
      <c r="C639" t="s">
        <v>32</v>
      </c>
      <c r="D639" t="s">
        <v>83</v>
      </c>
      <c r="E639" t="s">
        <v>288</v>
      </c>
      <c r="F639" t="s">
        <v>1543</v>
      </c>
      <c r="H639" t="s">
        <v>1669</v>
      </c>
      <c r="I639" t="s">
        <v>1670</v>
      </c>
      <c r="J639" t="s">
        <v>1674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f>N639-K639</f>
        <v>0</v>
      </c>
      <c r="R639">
        <f>O639-L639</f>
        <v>0</v>
      </c>
      <c r="S639">
        <f>P639-M639</f>
        <v>0</v>
      </c>
      <c r="T639">
        <v>62</v>
      </c>
      <c r="U639" s="14">
        <v>82290.740000000005</v>
      </c>
      <c r="V639" s="14">
        <v>363</v>
      </c>
      <c r="W639" s="16">
        <v>2.659709018269525E-4</v>
      </c>
      <c r="X639" s="16">
        <v>6.5740385242279574E-4</v>
      </c>
    </row>
    <row r="640" spans="1:24" x14ac:dyDescent="0.2">
      <c r="A640" t="s">
        <v>17</v>
      </c>
      <c r="B640" t="s">
        <v>23</v>
      </c>
      <c r="C640" t="s">
        <v>60</v>
      </c>
      <c r="D640" t="s">
        <v>175</v>
      </c>
      <c r="E640" t="s">
        <v>480</v>
      </c>
      <c r="F640" t="s">
        <v>1544</v>
      </c>
      <c r="H640" t="s">
        <v>1669</v>
      </c>
      <c r="I640" t="s">
        <v>1670</v>
      </c>
      <c r="J640" t="s">
        <v>1674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f>N640-K640</f>
        <v>0</v>
      </c>
      <c r="R640">
        <f>O640-L640</f>
        <v>0</v>
      </c>
      <c r="S640">
        <f>P640-M640</f>
        <v>0</v>
      </c>
      <c r="T640">
        <v>261</v>
      </c>
      <c r="U640" s="14">
        <v>626099.95000000042</v>
      </c>
      <c r="V640" s="14">
        <v>957</v>
      </c>
      <c r="W640" s="16">
        <v>2.023610048169575E-3</v>
      </c>
      <c r="X640" s="16">
        <v>1.7331556109328253E-3</v>
      </c>
    </row>
    <row r="641" spans="1:24" x14ac:dyDescent="0.2">
      <c r="A641" t="s">
        <v>17</v>
      </c>
      <c r="B641" t="s">
        <v>24</v>
      </c>
      <c r="C641" t="s">
        <v>49</v>
      </c>
      <c r="D641" t="s">
        <v>178</v>
      </c>
      <c r="E641" t="s">
        <v>661</v>
      </c>
      <c r="F641" t="s">
        <v>1545</v>
      </c>
      <c r="H641" t="s">
        <v>1669</v>
      </c>
      <c r="I641" t="s">
        <v>1671</v>
      </c>
      <c r="J641" t="s">
        <v>1674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f>N641-K641</f>
        <v>0</v>
      </c>
      <c r="R641">
        <f>O641-L641</f>
        <v>0</v>
      </c>
      <c r="S641">
        <f>P641-M641</f>
        <v>0</v>
      </c>
      <c r="T641">
        <v>230</v>
      </c>
      <c r="U641" s="14">
        <v>252197.17000000004</v>
      </c>
      <c r="V641" s="14">
        <v>1671</v>
      </c>
      <c r="W641" s="16">
        <v>8.1512341173630538E-4</v>
      </c>
      <c r="X641" s="16">
        <v>3.0262309570206385E-3</v>
      </c>
    </row>
    <row r="642" spans="1:24" x14ac:dyDescent="0.2">
      <c r="A642" t="s">
        <v>17</v>
      </c>
      <c r="B642" t="s">
        <v>23</v>
      </c>
      <c r="C642" t="s">
        <v>60</v>
      </c>
      <c r="D642" t="s">
        <v>175</v>
      </c>
      <c r="E642" t="s">
        <v>480</v>
      </c>
      <c r="F642" t="s">
        <v>1546</v>
      </c>
      <c r="H642" t="s">
        <v>1669</v>
      </c>
      <c r="I642" t="s">
        <v>1671</v>
      </c>
      <c r="J642" t="s">
        <v>1674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f>N642-K642</f>
        <v>0</v>
      </c>
      <c r="R642">
        <f>O642-L642</f>
        <v>0</v>
      </c>
      <c r="S642">
        <f>P642-M642</f>
        <v>0</v>
      </c>
      <c r="T642">
        <v>408</v>
      </c>
      <c r="U642" s="14">
        <v>664914.29000000074</v>
      </c>
      <c r="V642" s="14">
        <v>1285</v>
      </c>
      <c r="W642" s="16">
        <v>2.1490614053164183E-3</v>
      </c>
      <c r="X642" s="16">
        <v>2.3271734169787676E-3</v>
      </c>
    </row>
    <row r="643" spans="1:24" x14ac:dyDescent="0.2">
      <c r="A643" t="s">
        <v>14</v>
      </c>
      <c r="B643" s="35" t="s">
        <v>19</v>
      </c>
      <c r="C643" t="s">
        <v>48</v>
      </c>
      <c r="D643" t="s">
        <v>130</v>
      </c>
      <c r="E643" t="s">
        <v>373</v>
      </c>
      <c r="F643" t="s">
        <v>892</v>
      </c>
      <c r="H643" t="s">
        <v>1670</v>
      </c>
      <c r="I643" t="s">
        <v>1670</v>
      </c>
      <c r="J643" t="s">
        <v>1674</v>
      </c>
      <c r="K643">
        <v>4</v>
      </c>
      <c r="L643">
        <v>0</v>
      </c>
      <c r="M643">
        <v>4</v>
      </c>
      <c r="N643">
        <v>4</v>
      </c>
      <c r="O643">
        <v>0</v>
      </c>
      <c r="P643">
        <v>4</v>
      </c>
      <c r="Q643">
        <f>N643-K643</f>
        <v>0</v>
      </c>
      <c r="R643">
        <f>O643-L643</f>
        <v>0</v>
      </c>
      <c r="S643">
        <f>P643-M643</f>
        <v>0</v>
      </c>
      <c r="T643">
        <v>1</v>
      </c>
      <c r="U643" s="14">
        <v>3030</v>
      </c>
      <c r="V643" s="14">
        <v>2</v>
      </c>
      <c r="W643" s="16">
        <v>9.7932262188390333E-6</v>
      </c>
      <c r="X643" s="16">
        <v>3.6220597929630623E-6</v>
      </c>
    </row>
    <row r="644" spans="1:24" x14ac:dyDescent="0.2">
      <c r="A644" t="s">
        <v>17</v>
      </c>
      <c r="B644" t="s">
        <v>23</v>
      </c>
      <c r="C644" t="s">
        <v>61</v>
      </c>
      <c r="D644" t="s">
        <v>224</v>
      </c>
      <c r="E644" t="s">
        <v>662</v>
      </c>
      <c r="F644" t="s">
        <v>662</v>
      </c>
      <c r="H644" t="s">
        <v>1669</v>
      </c>
      <c r="I644" t="s">
        <v>1671</v>
      </c>
      <c r="J644" t="s">
        <v>1674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f>N644-K644</f>
        <v>0</v>
      </c>
      <c r="R644">
        <f>O644-L644</f>
        <v>0</v>
      </c>
      <c r="S644">
        <f>P644-M644</f>
        <v>0</v>
      </c>
      <c r="T644">
        <v>23</v>
      </c>
      <c r="U644" s="14">
        <v>46506</v>
      </c>
      <c r="V644" s="14">
        <v>29</v>
      </c>
      <c r="W644" s="16">
        <v>1.5031147806380464E-4</v>
      </c>
      <c r="X644" s="16">
        <v>5.2519866997964405E-5</v>
      </c>
    </row>
    <row r="645" spans="1:24" x14ac:dyDescent="0.2">
      <c r="A645" t="s">
        <v>13</v>
      </c>
      <c r="B645" t="s">
        <v>20</v>
      </c>
      <c r="C645" t="s">
        <v>38</v>
      </c>
      <c r="D645" t="s">
        <v>101</v>
      </c>
      <c r="E645" t="s">
        <v>335</v>
      </c>
      <c r="F645" t="s">
        <v>1550</v>
      </c>
      <c r="H645" t="s">
        <v>1669</v>
      </c>
      <c r="I645" t="s">
        <v>1670</v>
      </c>
      <c r="J645" t="s">
        <v>1674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f>N645-K645</f>
        <v>0</v>
      </c>
      <c r="R645">
        <f>O645-L645</f>
        <v>0</v>
      </c>
      <c r="S645">
        <f>P645-M645</f>
        <v>0</v>
      </c>
      <c r="T645">
        <v>24</v>
      </c>
      <c r="U645" s="14">
        <v>2354589.4499999997</v>
      </c>
      <c r="V645" s="14">
        <v>338</v>
      </c>
      <c r="W645" s="16">
        <v>7.6102399789906849E-3</v>
      </c>
      <c r="X645" s="16">
        <v>6.1212810501075755E-4</v>
      </c>
    </row>
    <row r="646" spans="1:24" x14ac:dyDescent="0.2">
      <c r="A646" t="s">
        <v>14</v>
      </c>
      <c r="B646" s="35" t="s">
        <v>19</v>
      </c>
      <c r="C646" t="s">
        <v>48</v>
      </c>
      <c r="D646" t="s">
        <v>129</v>
      </c>
      <c r="E646" t="s">
        <v>371</v>
      </c>
      <c r="F646" t="s">
        <v>887</v>
      </c>
      <c r="H646" t="s">
        <v>1670</v>
      </c>
      <c r="I646" t="s">
        <v>1670</v>
      </c>
      <c r="J646" t="s">
        <v>1674</v>
      </c>
      <c r="K646">
        <v>16</v>
      </c>
      <c r="L646">
        <v>0</v>
      </c>
      <c r="M646">
        <v>16</v>
      </c>
      <c r="N646">
        <v>16</v>
      </c>
      <c r="O646">
        <v>0</v>
      </c>
      <c r="P646">
        <v>16</v>
      </c>
      <c r="Q646">
        <f>N646-K646</f>
        <v>0</v>
      </c>
      <c r="R646">
        <f>O646-L646</f>
        <v>0</v>
      </c>
      <c r="S646">
        <f>P646-M646</f>
        <v>0</v>
      </c>
      <c r="T646">
        <v>1</v>
      </c>
      <c r="U646" s="14">
        <v>3020</v>
      </c>
      <c r="V646" s="14">
        <v>4</v>
      </c>
      <c r="W646" s="16">
        <v>9.7609053402290033E-6</v>
      </c>
      <c r="X646" s="16">
        <v>7.2441195859261247E-6</v>
      </c>
    </row>
    <row r="647" spans="1:24" x14ac:dyDescent="0.2">
      <c r="A647" t="s">
        <v>16</v>
      </c>
      <c r="B647" t="s">
        <v>22</v>
      </c>
      <c r="C647" t="s">
        <v>39</v>
      </c>
      <c r="D647" t="s">
        <v>157</v>
      </c>
      <c r="E647" t="s">
        <v>442</v>
      </c>
      <c r="F647" t="s">
        <v>1011</v>
      </c>
      <c r="H647" t="s">
        <v>1670</v>
      </c>
      <c r="I647" t="s">
        <v>1670</v>
      </c>
      <c r="J647" t="s">
        <v>1674</v>
      </c>
      <c r="K647">
        <v>3</v>
      </c>
      <c r="L647">
        <v>0</v>
      </c>
      <c r="M647">
        <v>3</v>
      </c>
      <c r="N647">
        <v>3</v>
      </c>
      <c r="O647">
        <v>0</v>
      </c>
      <c r="P647">
        <v>3</v>
      </c>
      <c r="Q647">
        <f>N647-K647</f>
        <v>0</v>
      </c>
      <c r="R647">
        <f>O647-L647</f>
        <v>0</v>
      </c>
      <c r="S647">
        <f>P647-M647</f>
        <v>0</v>
      </c>
      <c r="T647">
        <v>2</v>
      </c>
      <c r="U647" s="14">
        <v>2969</v>
      </c>
      <c r="V647" s="14">
        <v>3</v>
      </c>
      <c r="W647" s="16">
        <v>9.5960688593178509E-6</v>
      </c>
      <c r="X647" s="16">
        <v>5.4330896894445931E-6</v>
      </c>
    </row>
    <row r="648" spans="1:24" x14ac:dyDescent="0.2">
      <c r="A648" t="s">
        <v>17</v>
      </c>
      <c r="B648" t="s">
        <v>24</v>
      </c>
      <c r="C648" t="s">
        <v>49</v>
      </c>
      <c r="D648" t="s">
        <v>178</v>
      </c>
      <c r="E648" t="s">
        <v>492</v>
      </c>
      <c r="F648" t="s">
        <v>1553</v>
      </c>
      <c r="H648" t="s">
        <v>1669</v>
      </c>
      <c r="I648" t="s">
        <v>1671</v>
      </c>
      <c r="J648" t="s">
        <v>1674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f>N648-K648</f>
        <v>0</v>
      </c>
      <c r="R648">
        <f>O648-L648</f>
        <v>0</v>
      </c>
      <c r="S648">
        <f>P648-M648</f>
        <v>0</v>
      </c>
      <c r="T648">
        <v>47</v>
      </c>
      <c r="U648" s="14">
        <v>75929.49000000002</v>
      </c>
      <c r="V648" s="14">
        <v>204</v>
      </c>
      <c r="W648" s="16">
        <v>2.4541078292114734E-4</v>
      </c>
      <c r="X648" s="16">
        <v>3.6945009888223233E-4</v>
      </c>
    </row>
    <row r="649" spans="1:24" x14ac:dyDescent="0.2">
      <c r="A649" t="s">
        <v>17</v>
      </c>
      <c r="B649" t="s">
        <v>23</v>
      </c>
      <c r="C649" t="s">
        <v>60</v>
      </c>
      <c r="D649" t="s">
        <v>175</v>
      </c>
      <c r="E649" t="s">
        <v>480</v>
      </c>
      <c r="F649" t="s">
        <v>1555</v>
      </c>
      <c r="H649" t="s">
        <v>1669</v>
      </c>
      <c r="I649" t="s">
        <v>1670</v>
      </c>
      <c r="J649" t="s">
        <v>1674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f>N649-K649</f>
        <v>0</v>
      </c>
      <c r="R649">
        <f>O649-L649</f>
        <v>0</v>
      </c>
      <c r="S649">
        <f>P649-M649</f>
        <v>0</v>
      </c>
      <c r="T649">
        <v>219</v>
      </c>
      <c r="U649" s="14">
        <v>388056.48999999987</v>
      </c>
      <c r="V649" s="14">
        <v>851</v>
      </c>
      <c r="W649" s="16">
        <v>1.2542326707124245E-3</v>
      </c>
      <c r="X649" s="16">
        <v>1.541186441905783E-3</v>
      </c>
    </row>
    <row r="650" spans="1:24" x14ac:dyDescent="0.2">
      <c r="A650" t="s">
        <v>13</v>
      </c>
      <c r="B650" t="s">
        <v>19</v>
      </c>
      <c r="C650" t="s">
        <v>27</v>
      </c>
      <c r="D650" t="s">
        <v>105</v>
      </c>
      <c r="E650" t="s">
        <v>342</v>
      </c>
      <c r="F650" t="s">
        <v>850</v>
      </c>
      <c r="H650" t="s">
        <v>1670</v>
      </c>
      <c r="I650" t="s">
        <v>1670</v>
      </c>
      <c r="J650" t="s">
        <v>1674</v>
      </c>
      <c r="K650">
        <v>1</v>
      </c>
      <c r="L650">
        <v>0</v>
      </c>
      <c r="M650">
        <v>1</v>
      </c>
      <c r="N650">
        <v>1</v>
      </c>
      <c r="O650">
        <v>0</v>
      </c>
      <c r="P650">
        <v>1</v>
      </c>
      <c r="Q650">
        <f>N650-K650</f>
        <v>0</v>
      </c>
      <c r="R650">
        <f>O650-L650</f>
        <v>0</v>
      </c>
      <c r="S650">
        <f>P650-M650</f>
        <v>0</v>
      </c>
      <c r="T650">
        <v>1</v>
      </c>
      <c r="U650" s="14">
        <v>2713</v>
      </c>
      <c r="V650" s="14">
        <v>5</v>
      </c>
      <c r="W650" s="16">
        <v>8.7686543669010883E-6</v>
      </c>
      <c r="X650" s="16">
        <v>9.0551494824076554E-6</v>
      </c>
    </row>
    <row r="651" spans="1:24" x14ac:dyDescent="0.2">
      <c r="A651" t="s">
        <v>17</v>
      </c>
      <c r="B651" t="s">
        <v>24</v>
      </c>
      <c r="C651" t="s">
        <v>49</v>
      </c>
      <c r="D651" t="s">
        <v>180</v>
      </c>
      <c r="E651" t="s">
        <v>188</v>
      </c>
      <c r="F651" t="s">
        <v>1557</v>
      </c>
      <c r="H651" t="s">
        <v>1669</v>
      </c>
      <c r="I651" t="s">
        <v>1670</v>
      </c>
      <c r="J651" t="s">
        <v>1674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f>N651-K651</f>
        <v>0</v>
      </c>
      <c r="R651">
        <f>O651-L651</f>
        <v>0</v>
      </c>
      <c r="S651">
        <f>P651-M651</f>
        <v>0</v>
      </c>
      <c r="T651">
        <v>232</v>
      </c>
      <c r="U651" s="14">
        <v>134508.26</v>
      </c>
      <c r="V651" s="14">
        <v>739</v>
      </c>
      <c r="W651" s="16">
        <v>4.3474251435063289E-4</v>
      </c>
      <c r="X651" s="16">
        <v>1.3383510934998515E-3</v>
      </c>
    </row>
    <row r="652" spans="1:24" x14ac:dyDescent="0.2">
      <c r="A652" t="s">
        <v>13</v>
      </c>
      <c r="B652" t="s">
        <v>20</v>
      </c>
      <c r="C652" t="s">
        <v>38</v>
      </c>
      <c r="D652" t="s">
        <v>103</v>
      </c>
      <c r="E652" t="s">
        <v>338</v>
      </c>
      <c r="F652" t="s">
        <v>1558</v>
      </c>
      <c r="H652" t="s">
        <v>1669</v>
      </c>
      <c r="I652" t="s">
        <v>1671</v>
      </c>
      <c r="J652" t="s">
        <v>1674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f>N652-K652</f>
        <v>0</v>
      </c>
      <c r="R652">
        <f>O652-L652</f>
        <v>0</v>
      </c>
      <c r="S652">
        <f>P652-M652</f>
        <v>0</v>
      </c>
      <c r="T652">
        <v>27</v>
      </c>
      <c r="U652" s="14">
        <v>111909.81999999999</v>
      </c>
      <c r="V652" s="14">
        <v>63</v>
      </c>
      <c r="W652" s="16">
        <v>3.6170237074902863E-4</v>
      </c>
      <c r="X652" s="16">
        <v>1.1409488347833646E-4</v>
      </c>
    </row>
    <row r="653" spans="1:24" x14ac:dyDescent="0.2">
      <c r="A653" t="s">
        <v>14</v>
      </c>
      <c r="B653" s="35" t="s">
        <v>19</v>
      </c>
      <c r="C653" t="s">
        <v>48</v>
      </c>
      <c r="D653" t="s">
        <v>130</v>
      </c>
      <c r="E653" t="s">
        <v>373</v>
      </c>
      <c r="F653" t="s">
        <v>1381</v>
      </c>
      <c r="H653" t="s">
        <v>1670</v>
      </c>
      <c r="I653" t="s">
        <v>1670</v>
      </c>
      <c r="J653" t="s">
        <v>1674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f>N653-K653</f>
        <v>0</v>
      </c>
      <c r="R653">
        <f>O653-L653</f>
        <v>0</v>
      </c>
      <c r="S653">
        <f>P653-M653</f>
        <v>0</v>
      </c>
      <c r="T653">
        <v>2</v>
      </c>
      <c r="U653" s="14">
        <v>2659</v>
      </c>
      <c r="V653" s="14">
        <v>2</v>
      </c>
      <c r="W653" s="16">
        <v>8.5941216224069268E-6</v>
      </c>
      <c r="X653" s="16">
        <v>3.6220597929630623E-6</v>
      </c>
    </row>
    <row r="654" spans="1:24" x14ac:dyDescent="0.2">
      <c r="A654" t="s">
        <v>12</v>
      </c>
      <c r="B654" s="35" t="s">
        <v>19</v>
      </c>
      <c r="C654" t="s">
        <v>28</v>
      </c>
      <c r="D654" t="s">
        <v>71</v>
      </c>
      <c r="E654" t="s">
        <v>257</v>
      </c>
      <c r="F654" t="s">
        <v>1560</v>
      </c>
      <c r="H654" t="s">
        <v>1669</v>
      </c>
      <c r="I654" t="s">
        <v>1670</v>
      </c>
      <c r="J654" t="s">
        <v>1674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f>N654-K654</f>
        <v>0</v>
      </c>
      <c r="R654">
        <f>O654-L654</f>
        <v>0</v>
      </c>
      <c r="S654">
        <f>P654-M654</f>
        <v>0</v>
      </c>
      <c r="T654">
        <v>34</v>
      </c>
      <c r="U654" s="14">
        <v>131986.63</v>
      </c>
      <c r="V654" s="14">
        <v>193</v>
      </c>
      <c r="W654" s="16">
        <v>4.2659238463769192E-4</v>
      </c>
      <c r="X654" s="16">
        <v>3.4952877002093551E-4</v>
      </c>
    </row>
    <row r="655" spans="1:24" x14ac:dyDescent="0.2">
      <c r="A655" t="s">
        <v>17</v>
      </c>
      <c r="B655" t="s">
        <v>23</v>
      </c>
      <c r="C655" t="s">
        <v>61</v>
      </c>
      <c r="D655" t="s">
        <v>188</v>
      </c>
      <c r="E655" t="s">
        <v>507</v>
      </c>
      <c r="F655" t="s">
        <v>1561</v>
      </c>
      <c r="H655" t="s">
        <v>1669</v>
      </c>
      <c r="I655" t="s">
        <v>1671</v>
      </c>
      <c r="J655" t="s">
        <v>1674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f>N655-K655</f>
        <v>0</v>
      </c>
      <c r="R655">
        <f>O655-L655</f>
        <v>0</v>
      </c>
      <c r="S655">
        <f>P655-M655</f>
        <v>0</v>
      </c>
      <c r="T655">
        <v>16</v>
      </c>
      <c r="U655" s="14">
        <v>23458.89</v>
      </c>
      <c r="V655" s="14">
        <v>23</v>
      </c>
      <c r="W655" s="16">
        <v>7.5821193601604222E-5</v>
      </c>
      <c r="X655" s="16">
        <v>4.1653687619075214E-5</v>
      </c>
    </row>
    <row r="656" spans="1:24" x14ac:dyDescent="0.2">
      <c r="A656" t="s">
        <v>16</v>
      </c>
      <c r="B656" t="s">
        <v>22</v>
      </c>
      <c r="C656" t="s">
        <v>39</v>
      </c>
      <c r="D656" t="s">
        <v>159</v>
      </c>
      <c r="E656" t="s">
        <v>448</v>
      </c>
      <c r="F656" t="s">
        <v>1023</v>
      </c>
      <c r="H656" t="s">
        <v>1670</v>
      </c>
      <c r="I656" t="s">
        <v>1670</v>
      </c>
      <c r="J656" t="s">
        <v>1673</v>
      </c>
      <c r="K656">
        <v>1</v>
      </c>
      <c r="L656">
        <v>0</v>
      </c>
      <c r="M656">
        <v>1</v>
      </c>
      <c r="N656">
        <v>3</v>
      </c>
      <c r="O656">
        <v>0</v>
      </c>
      <c r="P656">
        <v>3</v>
      </c>
      <c r="Q656">
        <f>N656-K656</f>
        <v>2</v>
      </c>
      <c r="R656">
        <f>O656-L656</f>
        <v>0</v>
      </c>
      <c r="S656">
        <f>P656-M656</f>
        <v>2</v>
      </c>
      <c r="T656">
        <v>4</v>
      </c>
      <c r="U656" s="14">
        <v>2650</v>
      </c>
      <c r="V656" s="14">
        <v>12</v>
      </c>
      <c r="W656" s="16">
        <v>8.565032831657901E-6</v>
      </c>
      <c r="X656" s="16">
        <v>2.1732358757778372E-5</v>
      </c>
    </row>
    <row r="657" spans="1:24" x14ac:dyDescent="0.2">
      <c r="A657" t="s">
        <v>17</v>
      </c>
      <c r="B657" s="35" t="s">
        <v>19</v>
      </c>
      <c r="C657" t="s">
        <v>52</v>
      </c>
      <c r="D657" t="s">
        <v>140</v>
      </c>
      <c r="E657" t="s">
        <v>510</v>
      </c>
      <c r="F657" t="s">
        <v>1415</v>
      </c>
      <c r="H657" t="s">
        <v>1670</v>
      </c>
      <c r="I657" t="s">
        <v>1670</v>
      </c>
      <c r="J657" t="s">
        <v>1674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f>N657-K657</f>
        <v>0</v>
      </c>
      <c r="R657">
        <f>O657-L657</f>
        <v>0</v>
      </c>
      <c r="S657">
        <f>P657-M657</f>
        <v>0</v>
      </c>
      <c r="T657">
        <v>4</v>
      </c>
      <c r="U657" s="14">
        <v>2640.77</v>
      </c>
      <c r="V657" s="14">
        <v>11</v>
      </c>
      <c r="W657" s="16">
        <v>8.535200660700843E-6</v>
      </c>
      <c r="X657" s="16">
        <v>1.9921328861296842E-5</v>
      </c>
    </row>
    <row r="658" spans="1:24" x14ac:dyDescent="0.2">
      <c r="A658" t="s">
        <v>16</v>
      </c>
      <c r="B658" t="s">
        <v>22</v>
      </c>
      <c r="C658" t="s">
        <v>39</v>
      </c>
      <c r="D658" t="s">
        <v>156</v>
      </c>
      <c r="E658" t="s">
        <v>435</v>
      </c>
      <c r="F658" t="s">
        <v>1419</v>
      </c>
      <c r="H658" t="s">
        <v>1670</v>
      </c>
      <c r="I658" t="s">
        <v>1670</v>
      </c>
      <c r="J658" t="s">
        <v>1674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2</v>
      </c>
      <c r="Q658">
        <f>N658-K658</f>
        <v>2</v>
      </c>
      <c r="R658">
        <f>O658-L658</f>
        <v>0</v>
      </c>
      <c r="S658">
        <f>P658-M658</f>
        <v>2</v>
      </c>
      <c r="T658">
        <v>3</v>
      </c>
      <c r="U658" s="14">
        <v>2579</v>
      </c>
      <c r="V658" s="14">
        <v>12</v>
      </c>
      <c r="W658" s="16">
        <v>8.3355545935266887E-6</v>
      </c>
      <c r="X658" s="16">
        <v>2.1732358757778372E-5</v>
      </c>
    </row>
    <row r="659" spans="1:24" x14ac:dyDescent="0.2">
      <c r="A659" t="s">
        <v>14</v>
      </c>
      <c r="B659" s="35" t="s">
        <v>19</v>
      </c>
      <c r="C659" t="s">
        <v>27</v>
      </c>
      <c r="D659" t="s">
        <v>68</v>
      </c>
      <c r="E659" t="s">
        <v>631</v>
      </c>
      <c r="F659" t="s">
        <v>1477</v>
      </c>
      <c r="H659" t="s">
        <v>1670</v>
      </c>
      <c r="I659" t="s">
        <v>1671</v>
      </c>
      <c r="J659" t="s">
        <v>1674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f>N659-K659</f>
        <v>0</v>
      </c>
      <c r="R659">
        <f>O659-L659</f>
        <v>0</v>
      </c>
      <c r="S659">
        <f>P659-M659</f>
        <v>0</v>
      </c>
      <c r="T659">
        <v>3</v>
      </c>
      <c r="U659" s="14">
        <v>2496</v>
      </c>
      <c r="V659" s="14">
        <v>7</v>
      </c>
      <c r="W659" s="16">
        <v>8.0672913010634414E-6</v>
      </c>
      <c r="X659" s="16">
        <v>1.2677209275370719E-5</v>
      </c>
    </row>
    <row r="660" spans="1:24" x14ac:dyDescent="0.2">
      <c r="A660" t="s">
        <v>17</v>
      </c>
      <c r="B660" t="s">
        <v>23</v>
      </c>
      <c r="C660" t="s">
        <v>60</v>
      </c>
      <c r="D660" t="s">
        <v>175</v>
      </c>
      <c r="E660" t="s">
        <v>480</v>
      </c>
      <c r="F660" t="s">
        <v>1565</v>
      </c>
      <c r="H660" t="s">
        <v>1669</v>
      </c>
      <c r="I660" t="s">
        <v>1671</v>
      </c>
      <c r="J660" t="s">
        <v>1674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f>N660-K660</f>
        <v>0</v>
      </c>
      <c r="R660">
        <f>O660-L660</f>
        <v>0</v>
      </c>
      <c r="S660">
        <f>P660-M660</f>
        <v>0</v>
      </c>
      <c r="T660">
        <v>359</v>
      </c>
      <c r="U660" s="14">
        <v>964554.11999999953</v>
      </c>
      <c r="V660" s="14">
        <v>544</v>
      </c>
      <c r="W660" s="16">
        <v>3.1175236625324114E-3</v>
      </c>
      <c r="X660" s="16">
        <v>9.8520026368595294E-4</v>
      </c>
    </row>
    <row r="661" spans="1:24" x14ac:dyDescent="0.2">
      <c r="A661" t="s">
        <v>13</v>
      </c>
      <c r="B661" t="s">
        <v>20</v>
      </c>
      <c r="C661" t="s">
        <v>38</v>
      </c>
      <c r="D661" t="s">
        <v>101</v>
      </c>
      <c r="E661" t="s">
        <v>668</v>
      </c>
      <c r="F661" t="s">
        <v>668</v>
      </c>
      <c r="H661" t="s">
        <v>1669</v>
      </c>
      <c r="I661" t="s">
        <v>1671</v>
      </c>
      <c r="J661" t="s">
        <v>1674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f>N661-K661</f>
        <v>0</v>
      </c>
      <c r="R661">
        <f>O661-L661</f>
        <v>0</v>
      </c>
      <c r="S661">
        <f>P661-M661</f>
        <v>0</v>
      </c>
      <c r="T661">
        <v>7</v>
      </c>
      <c r="U661" s="14">
        <v>2721469</v>
      </c>
      <c r="V661" s="14">
        <v>28</v>
      </c>
      <c r="W661" s="16">
        <v>8.796026918995923E-3</v>
      </c>
      <c r="X661" s="16">
        <v>5.0708837101482874E-5</v>
      </c>
    </row>
    <row r="662" spans="1:24" x14ac:dyDescent="0.2">
      <c r="A662" t="s">
        <v>17</v>
      </c>
      <c r="B662" t="s">
        <v>23</v>
      </c>
      <c r="C662" t="s">
        <v>60</v>
      </c>
      <c r="D662" t="s">
        <v>174</v>
      </c>
      <c r="E662" t="s">
        <v>478</v>
      </c>
      <c r="F662" t="s">
        <v>1566</v>
      </c>
      <c r="H662" t="s">
        <v>1669</v>
      </c>
      <c r="I662" t="s">
        <v>1671</v>
      </c>
      <c r="J662" t="s">
        <v>1674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f>N662-K662</f>
        <v>0</v>
      </c>
      <c r="R662">
        <f>O662-L662</f>
        <v>0</v>
      </c>
      <c r="S662">
        <f>P662-M662</f>
        <v>0</v>
      </c>
      <c r="T662">
        <v>65</v>
      </c>
      <c r="U662" s="14">
        <v>71625.05</v>
      </c>
      <c r="V662" s="14">
        <v>115</v>
      </c>
      <c r="W662" s="16">
        <v>2.314984546487316E-4</v>
      </c>
      <c r="X662" s="16">
        <v>2.0826843809537609E-4</v>
      </c>
    </row>
    <row r="663" spans="1:24" x14ac:dyDescent="0.2">
      <c r="A663" t="s">
        <v>17</v>
      </c>
      <c r="B663" t="s">
        <v>23</v>
      </c>
      <c r="C663" t="s">
        <v>60</v>
      </c>
      <c r="D663" t="s">
        <v>175</v>
      </c>
      <c r="E663" t="s">
        <v>481</v>
      </c>
      <c r="F663" t="s">
        <v>1567</v>
      </c>
      <c r="H663" t="s">
        <v>1669</v>
      </c>
      <c r="I663" t="s">
        <v>1671</v>
      </c>
      <c r="J663" t="s">
        <v>1674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f>N663-K663</f>
        <v>0</v>
      </c>
      <c r="R663">
        <f>O663-L663</f>
        <v>0</v>
      </c>
      <c r="S663">
        <f>P663-M663</f>
        <v>0</v>
      </c>
      <c r="T663">
        <v>423</v>
      </c>
      <c r="U663" s="14">
        <v>792341.49</v>
      </c>
      <c r="V663" s="14">
        <v>670</v>
      </c>
      <c r="W663" s="16">
        <v>2.560917311598015E-3</v>
      </c>
      <c r="X663" s="16">
        <v>1.2133900306426258E-3</v>
      </c>
    </row>
    <row r="664" spans="1:24" x14ac:dyDescent="0.2">
      <c r="A664" t="s">
        <v>13</v>
      </c>
      <c r="B664" t="s">
        <v>22</v>
      </c>
      <c r="C664" t="s">
        <v>46</v>
      </c>
      <c r="D664" t="s">
        <v>122</v>
      </c>
      <c r="E664" t="s">
        <v>366</v>
      </c>
      <c r="F664" t="s">
        <v>1389</v>
      </c>
      <c r="H664" t="s">
        <v>1670</v>
      </c>
      <c r="I664" t="s">
        <v>1671</v>
      </c>
      <c r="J664" t="s">
        <v>1674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f>N664-K664</f>
        <v>0</v>
      </c>
      <c r="R664">
        <f>O664-L664</f>
        <v>0</v>
      </c>
      <c r="S664">
        <f>P664-M664</f>
        <v>0</v>
      </c>
      <c r="T664">
        <v>2</v>
      </c>
      <c r="U664" s="14">
        <v>2409.4399999999996</v>
      </c>
      <c r="V664" s="14">
        <v>18</v>
      </c>
      <c r="W664" s="16">
        <v>7.7875217758150222E-6</v>
      </c>
      <c r="X664" s="16">
        <v>3.259853813666756E-5</v>
      </c>
    </row>
    <row r="665" spans="1:24" x14ac:dyDescent="0.2">
      <c r="A665" t="s">
        <v>17</v>
      </c>
      <c r="B665" t="s">
        <v>24</v>
      </c>
      <c r="C665" t="s">
        <v>49</v>
      </c>
      <c r="D665" t="s">
        <v>178</v>
      </c>
      <c r="E665" t="s">
        <v>575</v>
      </c>
      <c r="F665" t="s">
        <v>1569</v>
      </c>
      <c r="H665" t="s">
        <v>1669</v>
      </c>
      <c r="I665" t="s">
        <v>1670</v>
      </c>
      <c r="J665" t="s">
        <v>1674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f>N665-K665</f>
        <v>0</v>
      </c>
      <c r="R665">
        <f>O665-L665</f>
        <v>0</v>
      </c>
      <c r="S665">
        <f>P665-M665</f>
        <v>0</v>
      </c>
      <c r="T665">
        <v>195</v>
      </c>
      <c r="U665" s="14">
        <v>309837.76000000013</v>
      </c>
      <c r="V665" s="14">
        <v>1598</v>
      </c>
      <c r="W665" s="16">
        <v>1.0014228629763554E-3</v>
      </c>
      <c r="X665" s="16">
        <v>2.8940257745774865E-3</v>
      </c>
    </row>
    <row r="666" spans="1:24" x14ac:dyDescent="0.2">
      <c r="A666" t="s">
        <v>17</v>
      </c>
      <c r="B666" t="s">
        <v>23</v>
      </c>
      <c r="C666" t="s">
        <v>45</v>
      </c>
      <c r="D666" t="s">
        <v>200</v>
      </c>
      <c r="E666" t="s">
        <v>591</v>
      </c>
      <c r="F666" t="s">
        <v>1570</v>
      </c>
      <c r="H666" t="s">
        <v>1669</v>
      </c>
      <c r="I666" t="s">
        <v>1671</v>
      </c>
      <c r="J666" t="s">
        <v>1674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f>N666-K666</f>
        <v>0</v>
      </c>
      <c r="R666">
        <f>O666-L666</f>
        <v>0</v>
      </c>
      <c r="S666">
        <f>P666-M666</f>
        <v>0</v>
      </c>
      <c r="T666">
        <v>348</v>
      </c>
      <c r="U666" s="14">
        <v>609491.70999999961</v>
      </c>
      <c r="V666" s="14">
        <v>356</v>
      </c>
      <c r="W666" s="16">
        <v>1.9699307572729483E-3</v>
      </c>
      <c r="X666" s="16">
        <v>6.4472664314742505E-4</v>
      </c>
    </row>
    <row r="667" spans="1:24" x14ac:dyDescent="0.2">
      <c r="A667" t="s">
        <v>16</v>
      </c>
      <c r="B667" t="s">
        <v>22</v>
      </c>
      <c r="C667" t="s">
        <v>39</v>
      </c>
      <c r="D667" t="s">
        <v>167</v>
      </c>
      <c r="E667" t="s">
        <v>462</v>
      </c>
      <c r="F667" t="s">
        <v>1482</v>
      </c>
      <c r="H667" t="s">
        <v>1670</v>
      </c>
      <c r="I667" t="s">
        <v>1670</v>
      </c>
      <c r="J667" t="s">
        <v>1673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>
        <f>N667-K667</f>
        <v>1</v>
      </c>
      <c r="R667">
        <f>O667-L667</f>
        <v>0</v>
      </c>
      <c r="S667">
        <f>P667-M667</f>
        <v>1</v>
      </c>
      <c r="T667">
        <v>1</v>
      </c>
      <c r="U667" s="14">
        <v>2370.33</v>
      </c>
      <c r="V667" s="14">
        <v>44</v>
      </c>
      <c r="W667" s="16">
        <v>7.6611148195711957E-6</v>
      </c>
      <c r="X667" s="16">
        <v>7.9685315445187366E-5</v>
      </c>
    </row>
    <row r="668" spans="1:24" x14ac:dyDescent="0.2">
      <c r="A668" t="s">
        <v>16</v>
      </c>
      <c r="B668" t="s">
        <v>22</v>
      </c>
      <c r="C668" t="s">
        <v>39</v>
      </c>
      <c r="D668" t="s">
        <v>156</v>
      </c>
      <c r="E668" t="s">
        <v>437</v>
      </c>
      <c r="F668" t="s">
        <v>1517</v>
      </c>
      <c r="H668" t="s">
        <v>1670</v>
      </c>
      <c r="I668" t="s">
        <v>1670</v>
      </c>
      <c r="J668" t="s">
        <v>1674</v>
      </c>
      <c r="K668">
        <v>0</v>
      </c>
      <c r="L668">
        <v>0</v>
      </c>
      <c r="M668">
        <v>0</v>
      </c>
      <c r="N668">
        <v>3</v>
      </c>
      <c r="O668">
        <v>0</v>
      </c>
      <c r="P668">
        <v>3</v>
      </c>
      <c r="Q668">
        <f>N668-K668</f>
        <v>3</v>
      </c>
      <c r="R668">
        <f>O668-L668</f>
        <v>0</v>
      </c>
      <c r="S668">
        <f>P668-M668</f>
        <v>3</v>
      </c>
      <c r="T668">
        <v>2</v>
      </c>
      <c r="U668" s="14">
        <v>2295</v>
      </c>
      <c r="V668" s="14">
        <v>3</v>
      </c>
      <c r="W668" s="16">
        <v>7.417641641001842E-6</v>
      </c>
      <c r="X668" s="16">
        <v>5.4330896894445931E-6</v>
      </c>
    </row>
    <row r="669" spans="1:24" x14ac:dyDescent="0.2">
      <c r="A669" t="s">
        <v>16</v>
      </c>
      <c r="B669" t="s">
        <v>22</v>
      </c>
      <c r="C669" t="s">
        <v>37</v>
      </c>
      <c r="D669" t="s">
        <v>154</v>
      </c>
      <c r="E669" t="s">
        <v>154</v>
      </c>
      <c r="F669" t="s">
        <v>154</v>
      </c>
      <c r="H669" t="s">
        <v>1670</v>
      </c>
      <c r="I669" t="s">
        <v>1670</v>
      </c>
      <c r="J669" t="s">
        <v>1674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0</v>
      </c>
      <c r="Q669">
        <f>N669-K669</f>
        <v>-1</v>
      </c>
      <c r="R669">
        <f>O669-L669</f>
        <v>0</v>
      </c>
      <c r="S669">
        <f>P669-M669</f>
        <v>-1</v>
      </c>
      <c r="T669">
        <v>7</v>
      </c>
      <c r="U669" s="14">
        <v>2219.2399999999998</v>
      </c>
      <c r="V669" s="14">
        <v>14</v>
      </c>
      <c r="W669" s="16">
        <v>7.1727786646522559E-6</v>
      </c>
      <c r="X669" s="16">
        <v>2.5354418550741437E-5</v>
      </c>
    </row>
    <row r="670" spans="1:24" x14ac:dyDescent="0.2">
      <c r="A670" t="s">
        <v>17</v>
      </c>
      <c r="B670" t="s">
        <v>23</v>
      </c>
      <c r="C670" t="s">
        <v>60</v>
      </c>
      <c r="D670" t="s">
        <v>226</v>
      </c>
      <c r="E670" t="s">
        <v>670</v>
      </c>
      <c r="F670" t="s">
        <v>1574</v>
      </c>
      <c r="H670" t="s">
        <v>1669</v>
      </c>
      <c r="I670" t="s">
        <v>1671</v>
      </c>
      <c r="J670" t="s">
        <v>1674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f>N670-K670</f>
        <v>0</v>
      </c>
      <c r="R670">
        <f>O670-L670</f>
        <v>0</v>
      </c>
      <c r="S670">
        <f>P670-M670</f>
        <v>0</v>
      </c>
      <c r="T670">
        <v>115</v>
      </c>
      <c r="U670" s="14">
        <v>152014.10999999999</v>
      </c>
      <c r="V670" s="14">
        <v>330</v>
      </c>
      <c r="W670" s="16">
        <v>4.9132295963217189E-4</v>
      </c>
      <c r="X670" s="16">
        <v>5.9763986583890531E-4</v>
      </c>
    </row>
    <row r="671" spans="1:24" x14ac:dyDescent="0.2">
      <c r="A671" t="s">
        <v>16</v>
      </c>
      <c r="B671" t="s">
        <v>22</v>
      </c>
      <c r="C671" t="s">
        <v>46</v>
      </c>
      <c r="D671" t="s">
        <v>211</v>
      </c>
      <c r="E671" t="s">
        <v>610</v>
      </c>
      <c r="F671" t="s">
        <v>1467</v>
      </c>
      <c r="G671" t="s">
        <v>1719</v>
      </c>
      <c r="H671" t="s">
        <v>1670</v>
      </c>
      <c r="I671" t="s">
        <v>1672</v>
      </c>
      <c r="J671" t="s">
        <v>1674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f>N671-K671</f>
        <v>0</v>
      </c>
      <c r="R671">
        <f>O671-L671</f>
        <v>0</v>
      </c>
      <c r="S671">
        <f>P671-M671</f>
        <v>0</v>
      </c>
      <c r="T671">
        <v>8</v>
      </c>
      <c r="U671" s="14">
        <v>2124.48</v>
      </c>
      <c r="V671" s="14">
        <v>54</v>
      </c>
      <c r="W671" s="16">
        <v>6.866506018943614E-6</v>
      </c>
      <c r="X671" s="16">
        <v>9.7795614410002674E-5</v>
      </c>
    </row>
    <row r="672" spans="1:24" x14ac:dyDescent="0.2">
      <c r="A672" t="s">
        <v>17</v>
      </c>
      <c r="B672" t="s">
        <v>24</v>
      </c>
      <c r="C672" t="s">
        <v>49</v>
      </c>
      <c r="D672" t="s">
        <v>178</v>
      </c>
      <c r="E672" t="s">
        <v>671</v>
      </c>
      <c r="F672" t="s">
        <v>1576</v>
      </c>
      <c r="H672" t="s">
        <v>1669</v>
      </c>
      <c r="I672" t="s">
        <v>1672</v>
      </c>
      <c r="J672" t="s">
        <v>1674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f>N672-K672</f>
        <v>0</v>
      </c>
      <c r="R672">
        <f>O672-L672</f>
        <v>0</v>
      </c>
      <c r="S672">
        <f>P672-M672</f>
        <v>0</v>
      </c>
      <c r="T672">
        <v>6</v>
      </c>
      <c r="U672" s="14">
        <v>14141</v>
      </c>
      <c r="V672" s="14">
        <v>7</v>
      </c>
      <c r="W672" s="16">
        <v>4.5704954442443158E-5</v>
      </c>
      <c r="X672" s="16">
        <v>1.2677209275370719E-5</v>
      </c>
    </row>
    <row r="673" spans="1:24" x14ac:dyDescent="0.2">
      <c r="A673" t="s">
        <v>13</v>
      </c>
      <c r="B673" t="s">
        <v>22</v>
      </c>
      <c r="C673" t="s">
        <v>46</v>
      </c>
      <c r="D673" t="s">
        <v>170</v>
      </c>
      <c r="E673" t="s">
        <v>615</v>
      </c>
      <c r="F673" t="s">
        <v>1409</v>
      </c>
      <c r="H673" t="s">
        <v>1670</v>
      </c>
      <c r="I673" t="s">
        <v>1671</v>
      </c>
      <c r="J673" t="s">
        <v>1674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f>N673-K673</f>
        <v>0</v>
      </c>
      <c r="R673">
        <f>O673-L673</f>
        <v>0</v>
      </c>
      <c r="S673">
        <f>P673-M673</f>
        <v>0</v>
      </c>
      <c r="T673">
        <v>1</v>
      </c>
      <c r="U673" s="14">
        <v>1967.87</v>
      </c>
      <c r="V673" s="14">
        <v>8</v>
      </c>
      <c r="W673" s="16">
        <v>6.3603287390319366E-6</v>
      </c>
      <c r="X673" s="16">
        <v>1.4488239171852249E-5</v>
      </c>
    </row>
    <row r="674" spans="1:24" x14ac:dyDescent="0.2">
      <c r="A674" t="s">
        <v>17</v>
      </c>
      <c r="B674" t="s">
        <v>23</v>
      </c>
      <c r="C674" t="s">
        <v>61</v>
      </c>
      <c r="D674" t="s">
        <v>188</v>
      </c>
      <c r="E674" t="s">
        <v>507</v>
      </c>
      <c r="F674" t="s">
        <v>1580</v>
      </c>
      <c r="H674" t="s">
        <v>1669</v>
      </c>
      <c r="I674" t="s">
        <v>1671</v>
      </c>
      <c r="J674" t="s">
        <v>1674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f>N674-K674</f>
        <v>0</v>
      </c>
      <c r="R674">
        <f>O674-L674</f>
        <v>0</v>
      </c>
      <c r="S674">
        <f>P674-M674</f>
        <v>0</v>
      </c>
      <c r="T674">
        <v>102</v>
      </c>
      <c r="U674" s="14">
        <v>107565.47999999997</v>
      </c>
      <c r="V674" s="14">
        <v>330</v>
      </c>
      <c r="W674" s="16">
        <v>3.4766108217095887E-4</v>
      </c>
      <c r="X674" s="16">
        <v>5.9763986583890531E-4</v>
      </c>
    </row>
    <row r="675" spans="1:24" x14ac:dyDescent="0.2">
      <c r="A675" t="s">
        <v>16</v>
      </c>
      <c r="B675" t="s">
        <v>22</v>
      </c>
      <c r="C675" t="s">
        <v>46</v>
      </c>
      <c r="D675" t="s">
        <v>171</v>
      </c>
      <c r="E675" t="s">
        <v>471</v>
      </c>
      <c r="F675" t="s">
        <v>1051</v>
      </c>
      <c r="H675" t="s">
        <v>1670</v>
      </c>
      <c r="I675" t="s">
        <v>1671</v>
      </c>
      <c r="J675" t="s">
        <v>1674</v>
      </c>
      <c r="K675">
        <v>3</v>
      </c>
      <c r="L675">
        <v>0</v>
      </c>
      <c r="M675">
        <v>3</v>
      </c>
      <c r="N675">
        <v>0</v>
      </c>
      <c r="O675">
        <v>0</v>
      </c>
      <c r="P675">
        <v>0</v>
      </c>
      <c r="Q675">
        <f>N675-K675</f>
        <v>-3</v>
      </c>
      <c r="R675">
        <f>O675-L675</f>
        <v>0</v>
      </c>
      <c r="S675">
        <f>P675-M675</f>
        <v>-3</v>
      </c>
      <c r="T675">
        <v>5</v>
      </c>
      <c r="U675" s="14">
        <v>1959</v>
      </c>
      <c r="V675" s="14">
        <v>7</v>
      </c>
      <c r="W675" s="16">
        <v>6.3316601197048404E-6</v>
      </c>
      <c r="X675" s="16">
        <v>1.2677209275370719E-5</v>
      </c>
    </row>
    <row r="676" spans="1:24" x14ac:dyDescent="0.2">
      <c r="A676" t="s">
        <v>13</v>
      </c>
      <c r="B676" t="s">
        <v>21</v>
      </c>
      <c r="C676" t="s">
        <v>35</v>
      </c>
      <c r="D676" t="s">
        <v>216</v>
      </c>
      <c r="E676" t="s">
        <v>632</v>
      </c>
      <c r="F676" t="s">
        <v>1583</v>
      </c>
      <c r="H676" t="s">
        <v>1669</v>
      </c>
      <c r="I676" t="s">
        <v>1672</v>
      </c>
      <c r="J676" t="s">
        <v>1674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f>N676-K676</f>
        <v>0</v>
      </c>
      <c r="R676">
        <f>O676-L676</f>
        <v>0</v>
      </c>
      <c r="S676">
        <f>P676-M676</f>
        <v>0</v>
      </c>
      <c r="T676">
        <v>17</v>
      </c>
      <c r="U676" s="14">
        <v>23570.100000000002</v>
      </c>
      <c r="V676" s="14">
        <v>75</v>
      </c>
      <c r="W676" s="16">
        <v>7.618063409262638E-5</v>
      </c>
      <c r="X676" s="16">
        <v>1.3582724223611483E-4</v>
      </c>
    </row>
    <row r="677" spans="1:24" x14ac:dyDescent="0.2">
      <c r="A677" t="s">
        <v>16</v>
      </c>
      <c r="B677" t="s">
        <v>22</v>
      </c>
      <c r="C677" t="s">
        <v>39</v>
      </c>
      <c r="D677" t="s">
        <v>166</v>
      </c>
      <c r="E677" t="s">
        <v>461</v>
      </c>
      <c r="F677" t="s">
        <v>1425</v>
      </c>
      <c r="H677" t="s">
        <v>1670</v>
      </c>
      <c r="I677" t="s">
        <v>1670</v>
      </c>
      <c r="J677" t="s">
        <v>1674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f>N677-K677</f>
        <v>0</v>
      </c>
      <c r="R677">
        <f>O677-L677</f>
        <v>0</v>
      </c>
      <c r="S677">
        <f>P677-M677</f>
        <v>0</v>
      </c>
      <c r="T677">
        <v>2</v>
      </c>
      <c r="U677" s="14">
        <v>1908</v>
      </c>
      <c r="V677" s="14">
        <v>10</v>
      </c>
      <c r="W677" s="16">
        <v>6.166823638793688E-6</v>
      </c>
      <c r="X677" s="16">
        <v>1.8110298964815311E-5</v>
      </c>
    </row>
    <row r="678" spans="1:24" x14ac:dyDescent="0.2">
      <c r="A678" t="s">
        <v>17</v>
      </c>
      <c r="B678" t="s">
        <v>24</v>
      </c>
      <c r="C678" t="s">
        <v>49</v>
      </c>
      <c r="D678" t="s">
        <v>178</v>
      </c>
      <c r="E678" t="s">
        <v>661</v>
      </c>
      <c r="F678" t="s">
        <v>1586</v>
      </c>
      <c r="H678" t="s">
        <v>1669</v>
      </c>
      <c r="I678" t="s">
        <v>1671</v>
      </c>
      <c r="J678" t="s">
        <v>1674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f>N678-K678</f>
        <v>0</v>
      </c>
      <c r="R678">
        <f>O678-L678</f>
        <v>0</v>
      </c>
      <c r="S678">
        <f>P678-M678</f>
        <v>0</v>
      </c>
      <c r="T678">
        <v>121</v>
      </c>
      <c r="U678" s="14">
        <v>103013.09999999999</v>
      </c>
      <c r="V678" s="14">
        <v>243</v>
      </c>
      <c r="W678" s="16">
        <v>3.3294739003428617E-4</v>
      </c>
      <c r="X678" s="16">
        <v>4.4008026484501205E-4</v>
      </c>
    </row>
    <row r="679" spans="1:24" x14ac:dyDescent="0.2">
      <c r="A679" t="s">
        <v>13</v>
      </c>
      <c r="B679" t="s">
        <v>20</v>
      </c>
      <c r="C679" t="s">
        <v>31</v>
      </c>
      <c r="D679" t="s">
        <v>82</v>
      </c>
      <c r="E679" t="s">
        <v>283</v>
      </c>
      <c r="F679" t="s">
        <v>1587</v>
      </c>
      <c r="H679" t="s">
        <v>1669</v>
      </c>
      <c r="I679" t="s">
        <v>1670</v>
      </c>
      <c r="J679" t="s">
        <v>1674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f>N679-K679</f>
        <v>0</v>
      </c>
      <c r="R679">
        <f>O679-L679</f>
        <v>0</v>
      </c>
      <c r="S679">
        <f>P679-M679</f>
        <v>0</v>
      </c>
      <c r="T679">
        <v>5</v>
      </c>
      <c r="U679" s="14">
        <v>3587.86</v>
      </c>
      <c r="V679" s="14">
        <v>12</v>
      </c>
      <c r="W679" s="16">
        <v>1.1596278752978157E-5</v>
      </c>
      <c r="X679" s="16">
        <v>2.1732358757778372E-5</v>
      </c>
    </row>
    <row r="680" spans="1:24" x14ac:dyDescent="0.2">
      <c r="A680" t="s">
        <v>16</v>
      </c>
      <c r="B680" t="s">
        <v>22</v>
      </c>
      <c r="C680" t="s">
        <v>39</v>
      </c>
      <c r="D680" t="s">
        <v>159</v>
      </c>
      <c r="E680" t="s">
        <v>447</v>
      </c>
      <c r="F680" t="s">
        <v>1020</v>
      </c>
      <c r="H680" t="s">
        <v>1670</v>
      </c>
      <c r="I680" t="s">
        <v>1670</v>
      </c>
      <c r="J680" t="s">
        <v>1673</v>
      </c>
      <c r="K680">
        <v>1</v>
      </c>
      <c r="L680">
        <v>0</v>
      </c>
      <c r="M680">
        <v>1</v>
      </c>
      <c r="N680">
        <v>3</v>
      </c>
      <c r="O680">
        <v>0</v>
      </c>
      <c r="P680">
        <v>3</v>
      </c>
      <c r="Q680">
        <f>N680-K680</f>
        <v>2</v>
      </c>
      <c r="R680">
        <f>O680-L680</f>
        <v>0</v>
      </c>
      <c r="S680">
        <f>P680-M680</f>
        <v>2</v>
      </c>
      <c r="T680">
        <v>1</v>
      </c>
      <c r="U680" s="14">
        <v>1868.92</v>
      </c>
      <c r="V680" s="14">
        <v>7</v>
      </c>
      <c r="W680" s="16">
        <v>6.0405136451856919E-6</v>
      </c>
      <c r="X680" s="16">
        <v>1.2677209275370719E-5</v>
      </c>
    </row>
    <row r="681" spans="1:24" x14ac:dyDescent="0.2">
      <c r="A681" t="s">
        <v>14</v>
      </c>
      <c r="B681" s="35" t="s">
        <v>19</v>
      </c>
      <c r="C681" t="s">
        <v>48</v>
      </c>
      <c r="D681" t="s">
        <v>130</v>
      </c>
      <c r="E681" t="s">
        <v>373</v>
      </c>
      <c r="F681" t="s">
        <v>890</v>
      </c>
      <c r="H681" t="s">
        <v>1670</v>
      </c>
      <c r="I681" t="s">
        <v>1670</v>
      </c>
      <c r="J681" t="s">
        <v>1674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1</v>
      </c>
      <c r="Q681">
        <f>N681-K681</f>
        <v>0</v>
      </c>
      <c r="R681">
        <f>O681-L681</f>
        <v>0</v>
      </c>
      <c r="S681">
        <f>P681-M681</f>
        <v>0</v>
      </c>
      <c r="T681">
        <v>1</v>
      </c>
      <c r="U681" s="14">
        <v>1820</v>
      </c>
      <c r="V681" s="14">
        <v>2</v>
      </c>
      <c r="W681" s="16">
        <v>5.8823999070254258E-6</v>
      </c>
      <c r="X681" s="16">
        <v>3.6220597929630623E-6</v>
      </c>
    </row>
    <row r="682" spans="1:24" x14ac:dyDescent="0.2">
      <c r="A682" t="s">
        <v>13</v>
      </c>
      <c r="B682" t="s">
        <v>20</v>
      </c>
      <c r="C682" t="s">
        <v>31</v>
      </c>
      <c r="D682" t="s">
        <v>82</v>
      </c>
      <c r="E682" t="s">
        <v>538</v>
      </c>
      <c r="F682" t="s">
        <v>1590</v>
      </c>
      <c r="H682" t="s">
        <v>1669</v>
      </c>
      <c r="I682" t="s">
        <v>1671</v>
      </c>
      <c r="J682" t="s">
        <v>1674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f>N682-K682</f>
        <v>0</v>
      </c>
      <c r="R682">
        <f>O682-L682</f>
        <v>0</v>
      </c>
      <c r="S682">
        <f>P682-M682</f>
        <v>0</v>
      </c>
      <c r="T682">
        <v>19</v>
      </c>
      <c r="U682" s="14">
        <v>49103.71</v>
      </c>
      <c r="V682" s="14">
        <v>66</v>
      </c>
      <c r="W682" s="16">
        <v>1.5870750502121071E-4</v>
      </c>
      <c r="X682" s="16">
        <v>1.1952797316778106E-4</v>
      </c>
    </row>
    <row r="683" spans="1:24" x14ac:dyDescent="0.2">
      <c r="A683" t="s">
        <v>13</v>
      </c>
      <c r="B683" t="s">
        <v>20</v>
      </c>
      <c r="C683" t="s">
        <v>38</v>
      </c>
      <c r="D683" t="s">
        <v>102</v>
      </c>
      <c r="E683" t="s">
        <v>548</v>
      </c>
      <c r="F683" t="s">
        <v>1592</v>
      </c>
      <c r="H683" t="s">
        <v>1669</v>
      </c>
      <c r="I683" t="s">
        <v>1670</v>
      </c>
      <c r="J683" t="s">
        <v>1674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f>N683-K683</f>
        <v>0</v>
      </c>
      <c r="R683">
        <f>O683-L683</f>
        <v>0</v>
      </c>
      <c r="S683">
        <f>P683-M683</f>
        <v>0</v>
      </c>
      <c r="T683">
        <v>14</v>
      </c>
      <c r="U683" s="14">
        <v>155420.96</v>
      </c>
      <c r="V683" s="14">
        <v>1156</v>
      </c>
      <c r="W683" s="16">
        <v>5.0233419816142987E-4</v>
      </c>
      <c r="X683" s="16">
        <v>2.0935505603326501E-3</v>
      </c>
    </row>
    <row r="684" spans="1:24" x14ac:dyDescent="0.2">
      <c r="A684" t="s">
        <v>17</v>
      </c>
      <c r="B684" t="s">
        <v>24</v>
      </c>
      <c r="C684" t="s">
        <v>49</v>
      </c>
      <c r="D684" t="s">
        <v>180</v>
      </c>
      <c r="E684" t="s">
        <v>675</v>
      </c>
      <c r="F684" t="s">
        <v>1594</v>
      </c>
      <c r="H684" t="s">
        <v>1669</v>
      </c>
      <c r="I684" t="s">
        <v>1671</v>
      </c>
      <c r="J684" t="s">
        <v>1674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f>N684-K684</f>
        <v>0</v>
      </c>
      <c r="R684">
        <f>O684-L684</f>
        <v>0</v>
      </c>
      <c r="S684">
        <f>P684-M684</f>
        <v>0</v>
      </c>
      <c r="T684">
        <v>35</v>
      </c>
      <c r="U684" s="14">
        <v>35969.619999999988</v>
      </c>
      <c r="V684" s="14">
        <v>448</v>
      </c>
      <c r="W684" s="16">
        <v>1.1625697216689002E-4</v>
      </c>
      <c r="X684" s="16">
        <v>8.1134139362372599E-4</v>
      </c>
    </row>
    <row r="685" spans="1:24" x14ac:dyDescent="0.2">
      <c r="A685" t="s">
        <v>17</v>
      </c>
      <c r="B685" t="s">
        <v>23</v>
      </c>
      <c r="C685" t="s">
        <v>61</v>
      </c>
      <c r="D685" t="s">
        <v>188</v>
      </c>
      <c r="E685" t="s">
        <v>676</v>
      </c>
      <c r="F685" t="s">
        <v>1596</v>
      </c>
      <c r="H685" t="s">
        <v>1669</v>
      </c>
      <c r="I685" t="s">
        <v>1671</v>
      </c>
      <c r="J685" t="s">
        <v>1674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f>N685-K685</f>
        <v>0</v>
      </c>
      <c r="R685">
        <f>O685-L685</f>
        <v>0</v>
      </c>
      <c r="S685">
        <f>P685-M685</f>
        <v>0</v>
      </c>
      <c r="T685">
        <v>50</v>
      </c>
      <c r="U685" s="14">
        <v>54600.469999999987</v>
      </c>
      <c r="V685" s="14">
        <v>176</v>
      </c>
      <c r="W685" s="16">
        <v>1.7647351629205741E-4</v>
      </c>
      <c r="X685" s="16">
        <v>3.1874126178074947E-4</v>
      </c>
    </row>
    <row r="686" spans="1:24" x14ac:dyDescent="0.2">
      <c r="A686" t="s">
        <v>13</v>
      </c>
      <c r="B686" t="s">
        <v>20</v>
      </c>
      <c r="C686" t="s">
        <v>38</v>
      </c>
      <c r="D686" t="s">
        <v>103</v>
      </c>
      <c r="E686" t="s">
        <v>338</v>
      </c>
      <c r="F686" t="s">
        <v>1597</v>
      </c>
      <c r="H686" t="s">
        <v>1669</v>
      </c>
      <c r="I686" t="s">
        <v>1671</v>
      </c>
      <c r="J686" t="s">
        <v>1674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f>N686-K686</f>
        <v>0</v>
      </c>
      <c r="R686">
        <f>O686-L686</f>
        <v>0</v>
      </c>
      <c r="S686">
        <f>P686-M686</f>
        <v>0</v>
      </c>
      <c r="T686">
        <v>2</v>
      </c>
      <c r="U686" s="14">
        <v>12947</v>
      </c>
      <c r="V686" s="14">
        <v>2</v>
      </c>
      <c r="W686" s="16">
        <v>4.18458415364056E-5</v>
      </c>
      <c r="X686" s="16">
        <v>3.6220597929630623E-6</v>
      </c>
    </row>
    <row r="687" spans="1:24" x14ac:dyDescent="0.2">
      <c r="A687" t="s">
        <v>13</v>
      </c>
      <c r="B687" t="s">
        <v>21</v>
      </c>
      <c r="C687" t="s">
        <v>35</v>
      </c>
      <c r="D687" t="s">
        <v>201</v>
      </c>
      <c r="E687" t="s">
        <v>677</v>
      </c>
      <c r="F687" t="s">
        <v>1598</v>
      </c>
      <c r="H687" t="s">
        <v>1669</v>
      </c>
      <c r="I687" t="s">
        <v>1671</v>
      </c>
      <c r="J687" t="s">
        <v>1674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f>N687-K687</f>
        <v>0</v>
      </c>
      <c r="R687">
        <f>O687-L687</f>
        <v>0</v>
      </c>
      <c r="S687">
        <f>P687-M687</f>
        <v>0</v>
      </c>
      <c r="T687">
        <v>12</v>
      </c>
      <c r="U687" s="14">
        <v>15453.63</v>
      </c>
      <c r="V687" s="14">
        <v>126</v>
      </c>
      <c r="W687" s="16">
        <v>4.9947489931431499E-5</v>
      </c>
      <c r="X687" s="16">
        <v>2.2818976695667293E-4</v>
      </c>
    </row>
    <row r="688" spans="1:24" x14ac:dyDescent="0.2">
      <c r="A688" t="s">
        <v>17</v>
      </c>
      <c r="B688" t="s">
        <v>23</v>
      </c>
      <c r="C688" t="s">
        <v>60</v>
      </c>
      <c r="D688" t="s">
        <v>175</v>
      </c>
      <c r="E688" t="s">
        <v>481</v>
      </c>
      <c r="F688" t="s">
        <v>1599</v>
      </c>
      <c r="H688" t="s">
        <v>1669</v>
      </c>
      <c r="I688" t="s">
        <v>1670</v>
      </c>
      <c r="J688" t="s">
        <v>1674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f>N688-K688</f>
        <v>0</v>
      </c>
      <c r="R688">
        <f>O688-L688</f>
        <v>0</v>
      </c>
      <c r="S688">
        <f>P688-M688</f>
        <v>0</v>
      </c>
      <c r="T688">
        <v>189</v>
      </c>
      <c r="U688" s="14">
        <v>434747.00000000006</v>
      </c>
      <c r="V688" s="14">
        <v>390</v>
      </c>
      <c r="W688" s="16">
        <v>1.4051405013074632E-3</v>
      </c>
      <c r="X688" s="16">
        <v>7.0630165962779715E-4</v>
      </c>
    </row>
    <row r="689" spans="1:24" x14ac:dyDescent="0.2">
      <c r="A689" t="s">
        <v>17</v>
      </c>
      <c r="B689" t="s">
        <v>23</v>
      </c>
      <c r="C689" t="s">
        <v>60</v>
      </c>
      <c r="D689" t="s">
        <v>213</v>
      </c>
      <c r="E689" t="s">
        <v>678</v>
      </c>
      <c r="F689" t="s">
        <v>1600</v>
      </c>
      <c r="H689" t="s">
        <v>1669</v>
      </c>
      <c r="I689" t="s">
        <v>1672</v>
      </c>
      <c r="J689" t="s">
        <v>1674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f>N689-K689</f>
        <v>0</v>
      </c>
      <c r="R689">
        <f>O689-L689</f>
        <v>0</v>
      </c>
      <c r="S689">
        <f>P689-M689</f>
        <v>0</v>
      </c>
      <c r="T689">
        <v>156</v>
      </c>
      <c r="U689" s="14">
        <v>2255283.9300000002</v>
      </c>
      <c r="V689" s="14">
        <v>4414</v>
      </c>
      <c r="W689" s="16">
        <v>7.2892758132680983E-3</v>
      </c>
      <c r="X689" s="16">
        <v>7.9938859630694775E-3</v>
      </c>
    </row>
    <row r="690" spans="1:24" x14ac:dyDescent="0.2">
      <c r="A690" t="s">
        <v>17</v>
      </c>
      <c r="B690" t="s">
        <v>23</v>
      </c>
      <c r="C690" t="s">
        <v>45</v>
      </c>
      <c r="D690" t="s">
        <v>208</v>
      </c>
      <c r="E690" t="s">
        <v>659</v>
      </c>
      <c r="F690" t="s">
        <v>1602</v>
      </c>
      <c r="H690" t="s">
        <v>1669</v>
      </c>
      <c r="I690" t="s">
        <v>1671</v>
      </c>
      <c r="J690" t="s">
        <v>1674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f>N690-K690</f>
        <v>0</v>
      </c>
      <c r="R690">
        <f>O690-L690</f>
        <v>0</v>
      </c>
      <c r="S690">
        <f>P690-M690</f>
        <v>0</v>
      </c>
      <c r="T690">
        <v>326</v>
      </c>
      <c r="U690" s="14">
        <v>1024085.3399999997</v>
      </c>
      <c r="V690" s="14">
        <v>386</v>
      </c>
      <c r="W690" s="16">
        <v>3.3099337960451102E-3</v>
      </c>
      <c r="X690" s="16">
        <v>6.9905754004187103E-4</v>
      </c>
    </row>
    <row r="691" spans="1:24" x14ac:dyDescent="0.2">
      <c r="A691" t="s">
        <v>15</v>
      </c>
      <c r="B691" t="s">
        <v>24</v>
      </c>
      <c r="C691" t="s">
        <v>58</v>
      </c>
      <c r="D691" t="s">
        <v>148</v>
      </c>
      <c r="E691" t="s">
        <v>407</v>
      </c>
      <c r="F691" t="s">
        <v>1604</v>
      </c>
      <c r="H691" t="s">
        <v>1669</v>
      </c>
      <c r="I691" t="s">
        <v>1670</v>
      </c>
      <c r="J691" t="s">
        <v>1674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f>N691-K691</f>
        <v>0</v>
      </c>
      <c r="R691">
        <f>O691-L691</f>
        <v>0</v>
      </c>
      <c r="S691">
        <f>P691-M691</f>
        <v>0</v>
      </c>
      <c r="T691">
        <v>8</v>
      </c>
      <c r="U691" s="14">
        <v>5401.01</v>
      </c>
      <c r="V691" s="14">
        <v>13</v>
      </c>
      <c r="W691" s="16">
        <v>1.7456538858155712E-5</v>
      </c>
      <c r="X691" s="16">
        <v>2.3543388654259903E-5</v>
      </c>
    </row>
    <row r="692" spans="1:24" x14ac:dyDescent="0.2">
      <c r="A692" t="s">
        <v>13</v>
      </c>
      <c r="B692" t="s">
        <v>21</v>
      </c>
      <c r="C692" t="s">
        <v>35</v>
      </c>
      <c r="D692" t="s">
        <v>96</v>
      </c>
      <c r="E692" t="s">
        <v>679</v>
      </c>
      <c r="F692" t="s">
        <v>1605</v>
      </c>
      <c r="H692" t="s">
        <v>1669</v>
      </c>
      <c r="I692" t="s">
        <v>1671</v>
      </c>
      <c r="J692" t="s">
        <v>1674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f>N692-K692</f>
        <v>0</v>
      </c>
      <c r="R692">
        <f>O692-L692</f>
        <v>0</v>
      </c>
      <c r="S692">
        <f>P692-M692</f>
        <v>0</v>
      </c>
      <c r="T692">
        <v>31</v>
      </c>
      <c r="U692" s="14">
        <v>22249.859999999997</v>
      </c>
      <c r="V692" s="14">
        <v>96</v>
      </c>
      <c r="W692" s="16">
        <v>7.1913502415015787E-5</v>
      </c>
      <c r="X692" s="16">
        <v>1.7385887006222698E-4</v>
      </c>
    </row>
    <row r="693" spans="1:24" x14ac:dyDescent="0.2">
      <c r="A693" t="s">
        <v>17</v>
      </c>
      <c r="B693" t="s">
        <v>24</v>
      </c>
      <c r="C693" t="s">
        <v>58</v>
      </c>
      <c r="D693" t="s">
        <v>150</v>
      </c>
      <c r="E693" t="s">
        <v>577</v>
      </c>
      <c r="F693" t="s">
        <v>1606</v>
      </c>
      <c r="H693" t="s">
        <v>1669</v>
      </c>
      <c r="I693" t="s">
        <v>1670</v>
      </c>
      <c r="J693" t="s">
        <v>1674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f>N693-K693</f>
        <v>0</v>
      </c>
      <c r="R693">
        <f>O693-L693</f>
        <v>0</v>
      </c>
      <c r="S693">
        <f>P693-M693</f>
        <v>0</v>
      </c>
      <c r="T693">
        <v>7</v>
      </c>
      <c r="U693" s="14">
        <v>63436.460000000006</v>
      </c>
      <c r="V693" s="14">
        <v>101</v>
      </c>
      <c r="W693" s="16">
        <v>2.050322123110012E-4</v>
      </c>
      <c r="X693" s="16">
        <v>1.8291401954463463E-4</v>
      </c>
    </row>
    <row r="694" spans="1:24" x14ac:dyDescent="0.2">
      <c r="A694" t="s">
        <v>13</v>
      </c>
      <c r="B694" t="s">
        <v>21</v>
      </c>
      <c r="C694" t="s">
        <v>35</v>
      </c>
      <c r="D694" t="s">
        <v>95</v>
      </c>
      <c r="E694" t="s">
        <v>324</v>
      </c>
      <c r="F694" t="s">
        <v>1609</v>
      </c>
      <c r="H694" t="s">
        <v>1669</v>
      </c>
      <c r="I694" t="s">
        <v>1671</v>
      </c>
      <c r="J694" t="s">
        <v>1674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f>N694-K694</f>
        <v>0</v>
      </c>
      <c r="R694">
        <f>O694-L694</f>
        <v>0</v>
      </c>
      <c r="S694">
        <f>P694-M694</f>
        <v>0</v>
      </c>
      <c r="T694">
        <v>5</v>
      </c>
      <c r="U694" s="14">
        <v>2638</v>
      </c>
      <c r="V694" s="14">
        <v>4</v>
      </c>
      <c r="W694" s="16">
        <v>8.5262477773258644E-6</v>
      </c>
      <c r="X694" s="16">
        <v>7.2441195859261247E-6</v>
      </c>
    </row>
    <row r="695" spans="1:24" x14ac:dyDescent="0.2">
      <c r="A695" t="s">
        <v>13</v>
      </c>
      <c r="B695" t="s">
        <v>20</v>
      </c>
      <c r="C695" t="s">
        <v>33</v>
      </c>
      <c r="D695" t="s">
        <v>88</v>
      </c>
      <c r="E695" t="s">
        <v>681</v>
      </c>
      <c r="F695" t="s">
        <v>1610</v>
      </c>
      <c r="H695" t="s">
        <v>1669</v>
      </c>
      <c r="I695" t="s">
        <v>1671</v>
      </c>
      <c r="J695" t="s">
        <v>1674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f>N695-K695</f>
        <v>0</v>
      </c>
      <c r="R695">
        <f>O695-L695</f>
        <v>0</v>
      </c>
      <c r="S695">
        <f>P695-M695</f>
        <v>0</v>
      </c>
      <c r="T695">
        <v>4</v>
      </c>
      <c r="U695" s="14">
        <v>133092</v>
      </c>
      <c r="V695" s="14">
        <v>12</v>
      </c>
      <c r="W695" s="16">
        <v>4.3016503759660881E-4</v>
      </c>
      <c r="X695" s="16">
        <v>2.1732358757778372E-5</v>
      </c>
    </row>
    <row r="696" spans="1:24" x14ac:dyDescent="0.2">
      <c r="A696" t="s">
        <v>16</v>
      </c>
      <c r="B696" t="s">
        <v>22</v>
      </c>
      <c r="C696" t="s">
        <v>39</v>
      </c>
      <c r="D696" t="s">
        <v>165</v>
      </c>
      <c r="E696" t="s">
        <v>460</v>
      </c>
      <c r="F696" t="s">
        <v>1489</v>
      </c>
      <c r="H696" t="s">
        <v>1670</v>
      </c>
      <c r="I696" t="s">
        <v>1670</v>
      </c>
      <c r="J696" t="s">
        <v>1674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f>N696-K696</f>
        <v>0</v>
      </c>
      <c r="R696">
        <f>O696-L696</f>
        <v>0</v>
      </c>
      <c r="S696">
        <f>P696-M696</f>
        <v>0</v>
      </c>
      <c r="T696">
        <v>1</v>
      </c>
      <c r="U696" s="14">
        <v>1759</v>
      </c>
      <c r="V696" s="14">
        <v>4</v>
      </c>
      <c r="W696" s="16">
        <v>5.6852425475042443E-6</v>
      </c>
      <c r="X696" s="16">
        <v>7.2441195859261247E-6</v>
      </c>
    </row>
    <row r="697" spans="1:24" x14ac:dyDescent="0.2">
      <c r="A697" t="s">
        <v>13</v>
      </c>
      <c r="B697" t="s">
        <v>21</v>
      </c>
      <c r="C697" t="s">
        <v>35</v>
      </c>
      <c r="D697" t="s">
        <v>227</v>
      </c>
      <c r="E697" t="s">
        <v>682</v>
      </c>
      <c r="F697" t="s">
        <v>682</v>
      </c>
      <c r="H697" t="s">
        <v>1669</v>
      </c>
      <c r="I697" t="s">
        <v>1670</v>
      </c>
      <c r="J697" t="s">
        <v>1674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f>N697-K697</f>
        <v>0</v>
      </c>
      <c r="R697">
        <f>O697-L697</f>
        <v>0</v>
      </c>
      <c r="S697">
        <f>P697-M697</f>
        <v>0</v>
      </c>
      <c r="T697">
        <v>17</v>
      </c>
      <c r="U697" s="14">
        <v>33609.629999999997</v>
      </c>
      <c r="V697" s="14">
        <v>122</v>
      </c>
      <c r="W697" s="16">
        <v>1.0862927713580162E-4</v>
      </c>
      <c r="X697" s="16">
        <v>2.2094564737074681E-4</v>
      </c>
    </row>
    <row r="698" spans="1:24" x14ac:dyDescent="0.2">
      <c r="A698" t="s">
        <v>13</v>
      </c>
      <c r="B698" t="s">
        <v>22</v>
      </c>
      <c r="C698" t="s">
        <v>36</v>
      </c>
      <c r="D698" t="s">
        <v>92</v>
      </c>
      <c r="E698" t="s">
        <v>315</v>
      </c>
      <c r="F698" t="s">
        <v>1613</v>
      </c>
      <c r="H698" t="s">
        <v>1669</v>
      </c>
      <c r="I698" t="s">
        <v>1670</v>
      </c>
      <c r="J698" t="s">
        <v>1674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f>N698-K698</f>
        <v>0</v>
      </c>
      <c r="R698">
        <f>O698-L698</f>
        <v>0</v>
      </c>
      <c r="S698">
        <f>P698-M698</f>
        <v>0</v>
      </c>
      <c r="T698">
        <v>11</v>
      </c>
      <c r="U698" s="14">
        <v>28397.429999999997</v>
      </c>
      <c r="V698" s="14">
        <v>106</v>
      </c>
      <c r="W698" s="16">
        <v>9.1782988786681883E-5</v>
      </c>
      <c r="X698" s="16">
        <v>1.9196916902704229E-4</v>
      </c>
    </row>
    <row r="699" spans="1:24" x14ac:dyDescent="0.2">
      <c r="A699" t="s">
        <v>17</v>
      </c>
      <c r="B699" t="s">
        <v>24</v>
      </c>
      <c r="C699" t="s">
        <v>49</v>
      </c>
      <c r="D699" t="s">
        <v>178</v>
      </c>
      <c r="E699" t="s">
        <v>661</v>
      </c>
      <c r="F699" t="s">
        <v>1614</v>
      </c>
      <c r="H699" t="s">
        <v>1669</v>
      </c>
      <c r="I699" t="s">
        <v>1670</v>
      </c>
      <c r="J699" t="s">
        <v>1674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f>N699-K699</f>
        <v>0</v>
      </c>
      <c r="R699">
        <f>O699-L699</f>
        <v>0</v>
      </c>
      <c r="S699">
        <f>P699-M699</f>
        <v>0</v>
      </c>
      <c r="T699">
        <v>76</v>
      </c>
      <c r="U699" s="14">
        <v>59964.97</v>
      </c>
      <c r="V699" s="14">
        <v>219</v>
      </c>
      <c r="W699" s="16">
        <v>1.9381205162240795E-4</v>
      </c>
      <c r="X699" s="16">
        <v>3.9661554732945531E-4</v>
      </c>
    </row>
    <row r="700" spans="1:24" x14ac:dyDescent="0.2">
      <c r="A700" t="s">
        <v>12</v>
      </c>
      <c r="B700" s="35" t="s">
        <v>19</v>
      </c>
      <c r="C700" t="s">
        <v>27</v>
      </c>
      <c r="D700" t="s">
        <v>65</v>
      </c>
      <c r="E700" t="s">
        <v>247</v>
      </c>
      <c r="F700" t="s">
        <v>696</v>
      </c>
      <c r="H700" t="s">
        <v>1670</v>
      </c>
      <c r="I700" t="s">
        <v>1670</v>
      </c>
      <c r="J700" t="s">
        <v>1674</v>
      </c>
      <c r="K700">
        <v>3</v>
      </c>
      <c r="L700">
        <v>0</v>
      </c>
      <c r="M700">
        <v>3</v>
      </c>
      <c r="N700">
        <v>3</v>
      </c>
      <c r="O700">
        <v>0</v>
      </c>
      <c r="P700">
        <v>3</v>
      </c>
      <c r="Q700">
        <f>N700-K700</f>
        <v>0</v>
      </c>
      <c r="R700">
        <f>O700-L700</f>
        <v>0</v>
      </c>
      <c r="S700">
        <f>P700-M700</f>
        <v>0</v>
      </c>
      <c r="T700">
        <v>1</v>
      </c>
      <c r="U700" s="14">
        <v>1653.77</v>
      </c>
      <c r="V700" s="14">
        <v>21</v>
      </c>
      <c r="W700" s="16">
        <v>5.3451299418909007E-6</v>
      </c>
      <c r="X700" s="16">
        <v>3.8031627826112152E-5</v>
      </c>
    </row>
    <row r="701" spans="1:24" x14ac:dyDescent="0.2">
      <c r="A701" t="s">
        <v>13</v>
      </c>
      <c r="B701" t="s">
        <v>22</v>
      </c>
      <c r="C701" t="s">
        <v>41</v>
      </c>
      <c r="D701" t="s">
        <v>37</v>
      </c>
      <c r="E701" t="s">
        <v>683</v>
      </c>
      <c r="F701" t="s">
        <v>1616</v>
      </c>
      <c r="H701" t="s">
        <v>1669</v>
      </c>
      <c r="I701" t="s">
        <v>1670</v>
      </c>
      <c r="J701" t="s">
        <v>1673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f>N701-K701</f>
        <v>0</v>
      </c>
      <c r="R701">
        <f>O701-L701</f>
        <v>0</v>
      </c>
      <c r="S701">
        <f>P701-M701</f>
        <v>0</v>
      </c>
      <c r="T701">
        <v>27</v>
      </c>
      <c r="U701" s="14">
        <v>41062.92</v>
      </c>
      <c r="V701" s="14">
        <v>167</v>
      </c>
      <c r="W701" s="16">
        <v>1.3271896526933653E-4</v>
      </c>
      <c r="X701" s="16">
        <v>3.0244199271241572E-4</v>
      </c>
    </row>
    <row r="702" spans="1:24" x14ac:dyDescent="0.2">
      <c r="A702" t="s">
        <v>14</v>
      </c>
      <c r="B702" s="35" t="s">
        <v>19</v>
      </c>
      <c r="C702" t="s">
        <v>27</v>
      </c>
      <c r="D702" t="s">
        <v>68</v>
      </c>
      <c r="E702" t="s">
        <v>631</v>
      </c>
      <c r="F702" t="s">
        <v>1446</v>
      </c>
      <c r="H702" t="s">
        <v>1670</v>
      </c>
      <c r="I702" t="s">
        <v>1671</v>
      </c>
      <c r="J702" t="s">
        <v>1674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f>N702-K702</f>
        <v>0</v>
      </c>
      <c r="R702">
        <f>O702-L702</f>
        <v>0</v>
      </c>
      <c r="S702">
        <f>P702-M702</f>
        <v>0</v>
      </c>
      <c r="T702">
        <v>2</v>
      </c>
      <c r="U702" s="14">
        <v>1638.56</v>
      </c>
      <c r="V702" s="14">
        <v>6</v>
      </c>
      <c r="W702" s="16">
        <v>5.2959698855250449E-6</v>
      </c>
      <c r="X702" s="16">
        <v>1.0866179378889186E-5</v>
      </c>
    </row>
    <row r="703" spans="1:24" x14ac:dyDescent="0.2">
      <c r="A703" t="s">
        <v>17</v>
      </c>
      <c r="B703" t="s">
        <v>23</v>
      </c>
      <c r="C703" t="s">
        <v>61</v>
      </c>
      <c r="D703" t="s">
        <v>186</v>
      </c>
      <c r="E703" t="s">
        <v>684</v>
      </c>
      <c r="F703" t="s">
        <v>1618</v>
      </c>
      <c r="H703" t="s">
        <v>1669</v>
      </c>
      <c r="I703" t="s">
        <v>1672</v>
      </c>
      <c r="J703" t="s">
        <v>1674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f>N703-K703</f>
        <v>0</v>
      </c>
      <c r="R703">
        <f>O703-L703</f>
        <v>0</v>
      </c>
      <c r="S703">
        <f>P703-M703</f>
        <v>0</v>
      </c>
      <c r="T703">
        <v>10</v>
      </c>
      <c r="U703" s="14">
        <v>85954</v>
      </c>
      <c r="V703" s="14">
        <v>34</v>
      </c>
      <c r="W703" s="16">
        <v>2.7781088000465023E-4</v>
      </c>
      <c r="X703" s="16">
        <v>6.1575016480372059E-5</v>
      </c>
    </row>
    <row r="704" spans="1:24" x14ac:dyDescent="0.2">
      <c r="A704" t="s">
        <v>15</v>
      </c>
      <c r="B704" t="s">
        <v>24</v>
      </c>
      <c r="C704" t="s">
        <v>58</v>
      </c>
      <c r="D704" t="s">
        <v>150</v>
      </c>
      <c r="E704" t="s">
        <v>135</v>
      </c>
      <c r="F704" t="s">
        <v>1619</v>
      </c>
      <c r="H704" t="s">
        <v>1669</v>
      </c>
      <c r="I704" t="s">
        <v>1671</v>
      </c>
      <c r="J704" t="s">
        <v>1674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f>N704-K704</f>
        <v>0</v>
      </c>
      <c r="R704">
        <f>O704-L704</f>
        <v>0</v>
      </c>
      <c r="S704">
        <f>P704-M704</f>
        <v>0</v>
      </c>
      <c r="T704">
        <v>18</v>
      </c>
      <c r="U704" s="14">
        <v>8831.1500000000015</v>
      </c>
      <c r="V704" s="14">
        <v>149</v>
      </c>
      <c r="W704" s="16">
        <v>2.8543052713696483E-5</v>
      </c>
      <c r="X704" s="16">
        <v>2.6984345457574816E-4</v>
      </c>
    </row>
    <row r="705" spans="1:24" x14ac:dyDescent="0.2">
      <c r="A705" t="s">
        <v>16</v>
      </c>
      <c r="B705" t="s">
        <v>22</v>
      </c>
      <c r="C705" t="s">
        <v>46</v>
      </c>
      <c r="D705" t="s">
        <v>211</v>
      </c>
      <c r="E705" t="s">
        <v>602</v>
      </c>
      <c r="F705" t="s">
        <v>1363</v>
      </c>
      <c r="H705" t="s">
        <v>1670</v>
      </c>
      <c r="I705" t="s">
        <v>1672</v>
      </c>
      <c r="J705" t="s">
        <v>1674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f>N705-K705</f>
        <v>0</v>
      </c>
      <c r="R705">
        <f>O705-L705</f>
        <v>0</v>
      </c>
      <c r="S705">
        <f>P705-M705</f>
        <v>0</v>
      </c>
      <c r="T705">
        <v>5</v>
      </c>
      <c r="U705" s="14">
        <v>1595</v>
      </c>
      <c r="V705" s="14">
        <v>40</v>
      </c>
      <c r="W705" s="16">
        <v>5.1551801382997556E-6</v>
      </c>
      <c r="X705" s="16">
        <v>7.2441195859261243E-5</v>
      </c>
    </row>
    <row r="706" spans="1:24" x14ac:dyDescent="0.2">
      <c r="A706" t="s">
        <v>17</v>
      </c>
      <c r="B706" t="s">
        <v>24</v>
      </c>
      <c r="C706" t="s">
        <v>49</v>
      </c>
      <c r="D706" t="s">
        <v>178</v>
      </c>
      <c r="E706" t="s">
        <v>661</v>
      </c>
      <c r="F706" t="s">
        <v>1621</v>
      </c>
      <c r="H706" t="s">
        <v>1669</v>
      </c>
      <c r="I706" t="s">
        <v>1670</v>
      </c>
      <c r="J706" t="s">
        <v>1674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f>N706-K706</f>
        <v>0</v>
      </c>
      <c r="R706">
        <f>O706-L706</f>
        <v>0</v>
      </c>
      <c r="S706">
        <f>P706-M706</f>
        <v>0</v>
      </c>
      <c r="T706">
        <v>48</v>
      </c>
      <c r="U706" s="14">
        <v>23507.040000000005</v>
      </c>
      <c r="V706" s="14">
        <v>165</v>
      </c>
      <c r="W706" s="16">
        <v>7.597681863211154E-5</v>
      </c>
      <c r="X706" s="16">
        <v>2.9881993291945265E-4</v>
      </c>
    </row>
    <row r="707" spans="1:24" x14ac:dyDescent="0.2">
      <c r="A707" t="s">
        <v>17</v>
      </c>
      <c r="B707" t="s">
        <v>23</v>
      </c>
      <c r="C707" t="s">
        <v>60</v>
      </c>
      <c r="D707" t="s">
        <v>175</v>
      </c>
      <c r="E707" t="s">
        <v>480</v>
      </c>
      <c r="F707" t="s">
        <v>1623</v>
      </c>
      <c r="H707" t="s">
        <v>1669</v>
      </c>
      <c r="I707" t="s">
        <v>1671</v>
      </c>
      <c r="J707" t="s">
        <v>1674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f>N707-K707</f>
        <v>0</v>
      </c>
      <c r="R707">
        <f>O707-L707</f>
        <v>0</v>
      </c>
      <c r="S707">
        <f>P707-M707</f>
        <v>0</v>
      </c>
      <c r="T707">
        <v>43</v>
      </c>
      <c r="U707" s="14">
        <v>226809.99000000005</v>
      </c>
      <c r="V707" s="14">
        <v>174</v>
      </c>
      <c r="W707" s="16">
        <v>7.3306981543320776E-4</v>
      </c>
      <c r="X707" s="16">
        <v>3.151192019877864E-4</v>
      </c>
    </row>
    <row r="708" spans="1:24" x14ac:dyDescent="0.2">
      <c r="A708" t="s">
        <v>13</v>
      </c>
      <c r="B708" t="s">
        <v>20</v>
      </c>
      <c r="C708" t="s">
        <v>31</v>
      </c>
      <c r="D708" t="s">
        <v>82</v>
      </c>
      <c r="E708" t="s">
        <v>283</v>
      </c>
      <c r="F708" t="s">
        <v>1625</v>
      </c>
      <c r="H708" t="s">
        <v>1669</v>
      </c>
      <c r="I708" t="s">
        <v>1670</v>
      </c>
      <c r="J708" t="s">
        <v>1674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f>N708-K708</f>
        <v>0</v>
      </c>
      <c r="R708">
        <f>O708-L708</f>
        <v>0</v>
      </c>
      <c r="S708">
        <f>P708-M708</f>
        <v>0</v>
      </c>
      <c r="T708">
        <v>1</v>
      </c>
      <c r="U708" s="14">
        <v>19232</v>
      </c>
      <c r="V708" s="14">
        <v>2</v>
      </c>
      <c r="W708" s="16">
        <v>6.2159513742809333E-5</v>
      </c>
      <c r="X708" s="16">
        <v>3.6220597929630623E-6</v>
      </c>
    </row>
    <row r="709" spans="1:24" x14ac:dyDescent="0.2">
      <c r="A709" t="s">
        <v>17</v>
      </c>
      <c r="B709" t="s">
        <v>23</v>
      </c>
      <c r="C709" t="s">
        <v>61</v>
      </c>
      <c r="D709" t="s">
        <v>188</v>
      </c>
      <c r="E709" t="s">
        <v>507</v>
      </c>
      <c r="F709" t="s">
        <v>1627</v>
      </c>
      <c r="H709" t="s">
        <v>1669</v>
      </c>
      <c r="I709" t="s">
        <v>1671</v>
      </c>
      <c r="J709" t="s">
        <v>1674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f>N709-K709</f>
        <v>0</v>
      </c>
      <c r="R709">
        <f>O709-L709</f>
        <v>0</v>
      </c>
      <c r="S709">
        <f>P709-M709</f>
        <v>0</v>
      </c>
      <c r="T709">
        <v>18</v>
      </c>
      <c r="U709" s="14">
        <v>88605.96</v>
      </c>
      <c r="V709" s="14">
        <v>270</v>
      </c>
      <c r="W709" s="16">
        <v>2.8638224772851572E-4</v>
      </c>
      <c r="X709" s="16">
        <v>4.8897807205001336E-4</v>
      </c>
    </row>
    <row r="710" spans="1:24" x14ac:dyDescent="0.2">
      <c r="A710" t="s">
        <v>13</v>
      </c>
      <c r="B710" t="s">
        <v>20</v>
      </c>
      <c r="C710" t="s">
        <v>31</v>
      </c>
      <c r="D710" t="s">
        <v>82</v>
      </c>
      <c r="E710" t="s">
        <v>283</v>
      </c>
      <c r="F710" t="s">
        <v>1628</v>
      </c>
      <c r="H710" t="s">
        <v>1669</v>
      </c>
      <c r="I710" t="s">
        <v>1671</v>
      </c>
      <c r="J710" t="s">
        <v>1674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f>N710-K710</f>
        <v>0</v>
      </c>
      <c r="R710">
        <f>O710-L710</f>
        <v>0</v>
      </c>
      <c r="S710">
        <f>P710-M710</f>
        <v>0</v>
      </c>
      <c r="T710">
        <v>14</v>
      </c>
      <c r="U710" s="14">
        <v>25571.219999999998</v>
      </c>
      <c r="V710" s="14">
        <v>50</v>
      </c>
      <c r="W710" s="16">
        <v>8.264842975303665E-5</v>
      </c>
      <c r="X710" s="16">
        <v>9.0551494824076551E-5</v>
      </c>
    </row>
    <row r="711" spans="1:24" x14ac:dyDescent="0.2">
      <c r="A711" t="s">
        <v>17</v>
      </c>
      <c r="B711" t="s">
        <v>24</v>
      </c>
      <c r="C711" t="s">
        <v>49</v>
      </c>
      <c r="D711" t="s">
        <v>178</v>
      </c>
      <c r="E711" t="s">
        <v>661</v>
      </c>
      <c r="F711" t="s">
        <v>1629</v>
      </c>
      <c r="H711" t="s">
        <v>1669</v>
      </c>
      <c r="I711" t="s">
        <v>1670</v>
      </c>
      <c r="J711" t="s">
        <v>1674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f>N711-K711</f>
        <v>0</v>
      </c>
      <c r="R711">
        <f>O711-L711</f>
        <v>0</v>
      </c>
      <c r="S711">
        <f>P711-M711</f>
        <v>0</v>
      </c>
      <c r="T711">
        <v>44</v>
      </c>
      <c r="U711" s="14">
        <v>36407.21</v>
      </c>
      <c r="V711" s="14">
        <v>135</v>
      </c>
      <c r="W711" s="16">
        <v>1.1767130149398634E-4</v>
      </c>
      <c r="X711" s="16">
        <v>2.4448903602500668E-4</v>
      </c>
    </row>
    <row r="712" spans="1:24" x14ac:dyDescent="0.2">
      <c r="A712" t="s">
        <v>17</v>
      </c>
      <c r="B712" t="s">
        <v>24</v>
      </c>
      <c r="C712" t="s">
        <v>58</v>
      </c>
      <c r="D712" t="s">
        <v>150</v>
      </c>
      <c r="E712" t="s">
        <v>577</v>
      </c>
      <c r="F712" t="s">
        <v>1630</v>
      </c>
      <c r="H712" t="s">
        <v>1669</v>
      </c>
      <c r="I712" t="s">
        <v>1670</v>
      </c>
      <c r="J712" t="s">
        <v>1674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f>N712-K712</f>
        <v>0</v>
      </c>
      <c r="R712">
        <f>O712-L712</f>
        <v>0</v>
      </c>
      <c r="S712">
        <f>P712-M712</f>
        <v>0</v>
      </c>
      <c r="T712">
        <v>6</v>
      </c>
      <c r="U712" s="14">
        <v>17503.27</v>
      </c>
      <c r="V712" s="14">
        <v>21</v>
      </c>
      <c r="W712" s="16">
        <v>5.6572106494857657E-5</v>
      </c>
      <c r="X712" s="16">
        <v>3.8031627826112152E-5</v>
      </c>
    </row>
    <row r="713" spans="1:24" x14ac:dyDescent="0.2">
      <c r="A713" t="s">
        <v>13</v>
      </c>
      <c r="B713" t="s">
        <v>21</v>
      </c>
      <c r="C713" t="s">
        <v>35</v>
      </c>
      <c r="D713" t="s">
        <v>96</v>
      </c>
      <c r="E713" t="s">
        <v>686</v>
      </c>
      <c r="F713" t="s">
        <v>1631</v>
      </c>
      <c r="H713" t="s">
        <v>1669</v>
      </c>
      <c r="I713" t="s">
        <v>1671</v>
      </c>
      <c r="J713" t="s">
        <v>1674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f>N713-K713</f>
        <v>0</v>
      </c>
      <c r="R713">
        <f>O713-L713</f>
        <v>0</v>
      </c>
      <c r="S713">
        <f>P713-M713</f>
        <v>0</v>
      </c>
      <c r="T713">
        <v>187</v>
      </c>
      <c r="U713" s="14">
        <v>56054.110000000008</v>
      </c>
      <c r="V713" s="14">
        <v>407</v>
      </c>
      <c r="W713" s="16">
        <v>1.8117180849032584E-4</v>
      </c>
      <c r="X713" s="16">
        <v>7.370891678679832E-4</v>
      </c>
    </row>
    <row r="714" spans="1:24" x14ac:dyDescent="0.2">
      <c r="A714" t="s">
        <v>13</v>
      </c>
      <c r="B714" t="s">
        <v>21</v>
      </c>
      <c r="C714" t="s">
        <v>35</v>
      </c>
      <c r="D714" t="s">
        <v>227</v>
      </c>
      <c r="E714" t="s">
        <v>687</v>
      </c>
      <c r="F714" t="s">
        <v>1632</v>
      </c>
      <c r="H714" t="s">
        <v>1669</v>
      </c>
      <c r="I714" t="s">
        <v>1670</v>
      </c>
      <c r="J714" t="s">
        <v>1674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f>N714-K714</f>
        <v>0</v>
      </c>
      <c r="R714">
        <f>O714-L714</f>
        <v>0</v>
      </c>
      <c r="S714">
        <f>P714-M714</f>
        <v>0</v>
      </c>
      <c r="T714">
        <v>2</v>
      </c>
      <c r="U714" s="14">
        <v>13417.34</v>
      </c>
      <c r="V714" s="14">
        <v>54</v>
      </c>
      <c r="W714" s="16">
        <v>4.3366021740949743E-5</v>
      </c>
      <c r="X714" s="16">
        <v>9.7795614410002674E-5</v>
      </c>
    </row>
    <row r="715" spans="1:24" x14ac:dyDescent="0.2">
      <c r="A715" t="s">
        <v>13</v>
      </c>
      <c r="B715" t="s">
        <v>20</v>
      </c>
      <c r="C715" t="s">
        <v>33</v>
      </c>
      <c r="D715" t="s">
        <v>87</v>
      </c>
      <c r="E715" t="s">
        <v>298</v>
      </c>
      <c r="F715" t="s">
        <v>1633</v>
      </c>
      <c r="H715" t="s">
        <v>1669</v>
      </c>
      <c r="I715" t="s">
        <v>1670</v>
      </c>
      <c r="J715" t="s">
        <v>1674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f>N715-K715</f>
        <v>0</v>
      </c>
      <c r="R715">
        <f>O715-L715</f>
        <v>0</v>
      </c>
      <c r="S715">
        <f>P715-M715</f>
        <v>0</v>
      </c>
      <c r="T715">
        <v>0</v>
      </c>
      <c r="U715" s="14">
        <v>0</v>
      </c>
      <c r="V715" s="14">
        <v>0</v>
      </c>
      <c r="W715" s="16">
        <v>0</v>
      </c>
      <c r="X715" s="16">
        <v>0</v>
      </c>
    </row>
    <row r="716" spans="1:24" x14ac:dyDescent="0.2">
      <c r="A716" t="s">
        <v>13</v>
      </c>
      <c r="B716" t="s">
        <v>22</v>
      </c>
      <c r="C716" t="s">
        <v>46</v>
      </c>
      <c r="D716" t="s">
        <v>223</v>
      </c>
      <c r="E716" t="s">
        <v>653</v>
      </c>
      <c r="F716" t="s">
        <v>1522</v>
      </c>
      <c r="H716" t="s">
        <v>1670</v>
      </c>
      <c r="I716" t="s">
        <v>1671</v>
      </c>
      <c r="J716" t="s">
        <v>1674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f>N716-K716</f>
        <v>0</v>
      </c>
      <c r="R716">
        <f>O716-L716</f>
        <v>0</v>
      </c>
      <c r="S716">
        <f>P716-M716</f>
        <v>0</v>
      </c>
      <c r="T716">
        <v>3</v>
      </c>
      <c r="U716" s="14">
        <v>1445</v>
      </c>
      <c r="V716" s="14">
        <v>13</v>
      </c>
      <c r="W716" s="16">
        <v>4.6703669591493077E-6</v>
      </c>
      <c r="X716" s="16">
        <v>2.3543388654259903E-5</v>
      </c>
    </row>
    <row r="717" spans="1:24" x14ac:dyDescent="0.2">
      <c r="A717" t="s">
        <v>13</v>
      </c>
      <c r="B717" t="s">
        <v>20</v>
      </c>
      <c r="C717" t="s">
        <v>33</v>
      </c>
      <c r="D717" t="s">
        <v>203</v>
      </c>
      <c r="E717" t="s">
        <v>578</v>
      </c>
      <c r="F717" t="s">
        <v>1637</v>
      </c>
      <c r="H717" t="s">
        <v>1669</v>
      </c>
      <c r="I717" t="s">
        <v>1670</v>
      </c>
      <c r="J717" t="s">
        <v>1674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f>N717-K717</f>
        <v>0</v>
      </c>
      <c r="R717">
        <f>O717-L717</f>
        <v>0</v>
      </c>
      <c r="S717">
        <f>P717-M717</f>
        <v>0</v>
      </c>
      <c r="T717">
        <v>1</v>
      </c>
      <c r="U717" s="14">
        <v>421</v>
      </c>
      <c r="V717" s="14">
        <v>1</v>
      </c>
      <c r="W717" s="16">
        <v>1.3607089894822551E-6</v>
      </c>
      <c r="X717" s="16">
        <v>1.8110298964815312E-6</v>
      </c>
    </row>
    <row r="718" spans="1:24" x14ac:dyDescent="0.2">
      <c r="A718" t="s">
        <v>13</v>
      </c>
      <c r="B718" t="s">
        <v>21</v>
      </c>
      <c r="C718" t="s">
        <v>35</v>
      </c>
      <c r="D718" t="s">
        <v>86</v>
      </c>
      <c r="E718" t="s">
        <v>86</v>
      </c>
      <c r="F718" t="s">
        <v>1638</v>
      </c>
      <c r="H718" t="s">
        <v>1669</v>
      </c>
      <c r="I718" t="s">
        <v>1670</v>
      </c>
      <c r="J718" t="s">
        <v>1674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f>N718-K718</f>
        <v>0</v>
      </c>
      <c r="R718">
        <f>O718-L718</f>
        <v>0</v>
      </c>
      <c r="S718">
        <f>P718-M718</f>
        <v>0</v>
      </c>
      <c r="T718">
        <v>9</v>
      </c>
      <c r="U718" s="14">
        <v>5206.5700000000006</v>
      </c>
      <c r="V718" s="14">
        <v>39</v>
      </c>
      <c r="W718" s="16">
        <v>1.6828091694462294E-5</v>
      </c>
      <c r="X718" s="16">
        <v>7.0630165962779713E-5</v>
      </c>
    </row>
    <row r="719" spans="1:24" x14ac:dyDescent="0.2">
      <c r="A719" t="s">
        <v>13</v>
      </c>
      <c r="B719" t="s">
        <v>22</v>
      </c>
      <c r="C719" t="s">
        <v>46</v>
      </c>
      <c r="D719" t="s">
        <v>168</v>
      </c>
      <c r="E719" t="s">
        <v>463</v>
      </c>
      <c r="F719" t="s">
        <v>1488</v>
      </c>
      <c r="H719" t="s">
        <v>1670</v>
      </c>
      <c r="I719" t="s">
        <v>1672</v>
      </c>
      <c r="J719" t="s">
        <v>1674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f>N719-K719</f>
        <v>0</v>
      </c>
      <c r="R719">
        <f>O719-L719</f>
        <v>0</v>
      </c>
      <c r="S719">
        <f>P719-M719</f>
        <v>0</v>
      </c>
      <c r="T719">
        <v>1</v>
      </c>
      <c r="U719" s="14">
        <v>1345</v>
      </c>
      <c r="V719" s="14">
        <v>5</v>
      </c>
      <c r="W719" s="16">
        <v>4.3471581730490096E-6</v>
      </c>
      <c r="X719" s="16">
        <v>9.0551494824076554E-6</v>
      </c>
    </row>
    <row r="720" spans="1:24" x14ac:dyDescent="0.2">
      <c r="A720" t="s">
        <v>13</v>
      </c>
      <c r="B720" t="s">
        <v>22</v>
      </c>
      <c r="C720" t="s">
        <v>46</v>
      </c>
      <c r="D720" t="s">
        <v>171</v>
      </c>
      <c r="E720" t="s">
        <v>618</v>
      </c>
      <c r="F720" t="s">
        <v>1412</v>
      </c>
      <c r="H720" t="s">
        <v>1670</v>
      </c>
      <c r="I720" t="s">
        <v>1671</v>
      </c>
      <c r="J720" t="s">
        <v>1674</v>
      </c>
      <c r="K720">
        <v>0</v>
      </c>
      <c r="L720">
        <v>0</v>
      </c>
      <c r="M720">
        <v>0</v>
      </c>
      <c r="N720">
        <v>10</v>
      </c>
      <c r="O720">
        <v>0</v>
      </c>
      <c r="P720">
        <v>10</v>
      </c>
      <c r="Q720">
        <f>N720-K720</f>
        <v>10</v>
      </c>
      <c r="R720">
        <f>O720-L720</f>
        <v>0</v>
      </c>
      <c r="S720">
        <f>P720-M720</f>
        <v>10</v>
      </c>
      <c r="T720">
        <v>2</v>
      </c>
      <c r="U720" s="14">
        <v>1243.21</v>
      </c>
      <c r="V720" s="14">
        <v>3</v>
      </c>
      <c r="W720" s="16">
        <v>4.0181639496775166E-6</v>
      </c>
      <c r="X720" s="16">
        <v>5.4330896894445931E-6</v>
      </c>
    </row>
    <row r="721" spans="1:24" x14ac:dyDescent="0.2">
      <c r="A721" t="s">
        <v>14</v>
      </c>
      <c r="B721" s="35" t="s">
        <v>19</v>
      </c>
      <c r="C721" t="s">
        <v>27</v>
      </c>
      <c r="D721" t="s">
        <v>135</v>
      </c>
      <c r="E721" t="s">
        <v>383</v>
      </c>
      <c r="F721" t="s">
        <v>1382</v>
      </c>
      <c r="H721" t="s">
        <v>1670</v>
      </c>
      <c r="I721" t="s">
        <v>1670</v>
      </c>
      <c r="J721" t="s">
        <v>1674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f>N721-K721</f>
        <v>0</v>
      </c>
      <c r="R721">
        <f>O721-L721</f>
        <v>0</v>
      </c>
      <c r="S721">
        <f>P721-M721</f>
        <v>0</v>
      </c>
      <c r="T721">
        <v>3</v>
      </c>
      <c r="U721" s="14">
        <v>1234</v>
      </c>
      <c r="V721" s="14">
        <v>12</v>
      </c>
      <c r="W721" s="16">
        <v>3.9883964204776791E-6</v>
      </c>
      <c r="X721" s="16">
        <v>2.1732358757778372E-5</v>
      </c>
    </row>
    <row r="722" spans="1:24" x14ac:dyDescent="0.2">
      <c r="A722" t="s">
        <v>12</v>
      </c>
      <c r="B722" t="s">
        <v>18</v>
      </c>
      <c r="C722" t="s">
        <v>32</v>
      </c>
      <c r="D722" t="s">
        <v>83</v>
      </c>
      <c r="E722" t="s">
        <v>61</v>
      </c>
      <c r="F722" t="s">
        <v>1642</v>
      </c>
      <c r="H722" t="s">
        <v>1669</v>
      </c>
      <c r="I722" t="s">
        <v>1670</v>
      </c>
      <c r="J722" t="s">
        <v>1674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f>N722-K722</f>
        <v>0</v>
      </c>
      <c r="R722">
        <f>O722-L722</f>
        <v>0</v>
      </c>
      <c r="S722">
        <f>P722-M722</f>
        <v>0</v>
      </c>
      <c r="T722">
        <v>0</v>
      </c>
      <c r="U722" s="14">
        <v>0</v>
      </c>
      <c r="V722" s="14">
        <v>0</v>
      </c>
      <c r="W722" s="16">
        <v>0</v>
      </c>
      <c r="X722" s="16">
        <v>0</v>
      </c>
    </row>
    <row r="723" spans="1:24" x14ac:dyDescent="0.2">
      <c r="A723" t="s">
        <v>12</v>
      </c>
      <c r="B723" s="35" t="s">
        <v>19</v>
      </c>
      <c r="C723" t="s">
        <v>28</v>
      </c>
      <c r="D723" t="s">
        <v>71</v>
      </c>
      <c r="E723" t="s">
        <v>259</v>
      </c>
      <c r="F723" t="s">
        <v>1644</v>
      </c>
      <c r="H723" t="s">
        <v>1669</v>
      </c>
      <c r="I723" t="s">
        <v>1671</v>
      </c>
      <c r="J723" t="s">
        <v>1674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f>N723-K723</f>
        <v>0</v>
      </c>
      <c r="R723">
        <f>O723-L723</f>
        <v>0</v>
      </c>
      <c r="S723">
        <f>P723-M723</f>
        <v>0</v>
      </c>
      <c r="T723">
        <v>3</v>
      </c>
      <c r="U723" s="14">
        <v>47858.01</v>
      </c>
      <c r="V723" s="14">
        <v>105</v>
      </c>
      <c r="W723" s="16">
        <v>1.5468129317275931E-4</v>
      </c>
      <c r="X723" s="16">
        <v>1.9015813913056076E-4</v>
      </c>
    </row>
    <row r="724" spans="1:24" x14ac:dyDescent="0.2">
      <c r="A724" t="s">
        <v>16</v>
      </c>
      <c r="B724" t="s">
        <v>22</v>
      </c>
      <c r="C724" t="s">
        <v>39</v>
      </c>
      <c r="D724" t="s">
        <v>164</v>
      </c>
      <c r="E724" t="s">
        <v>459</v>
      </c>
      <c r="F724" t="s">
        <v>1646</v>
      </c>
      <c r="H724" t="s">
        <v>1669</v>
      </c>
      <c r="I724" t="s">
        <v>1670</v>
      </c>
      <c r="J724" t="s">
        <v>1673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f>N724-K724</f>
        <v>0</v>
      </c>
      <c r="R724">
        <f>O724-L724</f>
        <v>0</v>
      </c>
      <c r="S724">
        <f>P724-M724</f>
        <v>0</v>
      </c>
      <c r="T724">
        <v>2</v>
      </c>
      <c r="U724" s="14">
        <v>372</v>
      </c>
      <c r="V724" s="14">
        <v>5</v>
      </c>
      <c r="W724" s="16">
        <v>1.202336684293109E-6</v>
      </c>
      <c r="X724" s="16">
        <v>9.0551494824076554E-6</v>
      </c>
    </row>
    <row r="725" spans="1:24" x14ac:dyDescent="0.2">
      <c r="A725" t="s">
        <v>15</v>
      </c>
      <c r="B725" t="s">
        <v>24</v>
      </c>
      <c r="C725" t="s">
        <v>58</v>
      </c>
      <c r="D725" t="s">
        <v>149</v>
      </c>
      <c r="E725" t="s">
        <v>689</v>
      </c>
      <c r="F725" t="s">
        <v>1647</v>
      </c>
      <c r="H725" t="s">
        <v>1669</v>
      </c>
      <c r="I725" t="s">
        <v>1670</v>
      </c>
      <c r="J725" t="s">
        <v>1673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f>N725-K725</f>
        <v>0</v>
      </c>
      <c r="R725">
        <f>O725-L725</f>
        <v>0</v>
      </c>
      <c r="S725">
        <f>P725-M725</f>
        <v>0</v>
      </c>
      <c r="T725">
        <v>0</v>
      </c>
      <c r="U725" s="14">
        <v>0</v>
      </c>
      <c r="V725" s="14">
        <v>0</v>
      </c>
      <c r="W725" s="16">
        <v>0</v>
      </c>
      <c r="X725" s="16">
        <v>0</v>
      </c>
    </row>
    <row r="726" spans="1:24" x14ac:dyDescent="0.2">
      <c r="A726" t="s">
        <v>13</v>
      </c>
      <c r="B726" t="s">
        <v>20</v>
      </c>
      <c r="C726" t="s">
        <v>38</v>
      </c>
      <c r="D726" t="s">
        <v>103</v>
      </c>
      <c r="E726" t="s">
        <v>338</v>
      </c>
      <c r="F726" t="s">
        <v>1648</v>
      </c>
      <c r="H726" t="s">
        <v>1669</v>
      </c>
      <c r="I726" t="s">
        <v>1671</v>
      </c>
      <c r="J726" t="s">
        <v>1674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f>N726-K726</f>
        <v>0</v>
      </c>
      <c r="R726">
        <f>O726-L726</f>
        <v>0</v>
      </c>
      <c r="S726">
        <f>P726-M726</f>
        <v>0</v>
      </c>
      <c r="T726">
        <v>0</v>
      </c>
      <c r="U726" s="14">
        <v>0</v>
      </c>
      <c r="V726" s="14">
        <v>0</v>
      </c>
      <c r="W726" s="16">
        <v>0</v>
      </c>
      <c r="X726" s="16">
        <v>0</v>
      </c>
    </row>
    <row r="727" spans="1:24" x14ac:dyDescent="0.2">
      <c r="A727" t="s">
        <v>17</v>
      </c>
      <c r="B727" t="s">
        <v>23</v>
      </c>
      <c r="C727" t="s">
        <v>61</v>
      </c>
      <c r="D727" t="s">
        <v>188</v>
      </c>
      <c r="E727" t="s">
        <v>507</v>
      </c>
      <c r="F727" t="s">
        <v>1649</v>
      </c>
      <c r="H727" t="s">
        <v>1669</v>
      </c>
      <c r="I727" t="s">
        <v>1671</v>
      </c>
      <c r="J727" t="s">
        <v>1673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f>N727-K727</f>
        <v>0</v>
      </c>
      <c r="R727">
        <f>O727-L727</f>
        <v>0</v>
      </c>
      <c r="S727">
        <f>P727-M727</f>
        <v>0</v>
      </c>
      <c r="T727">
        <v>0</v>
      </c>
      <c r="U727" s="14">
        <v>0</v>
      </c>
      <c r="V727" s="14">
        <v>0</v>
      </c>
      <c r="W727" s="16">
        <v>0</v>
      </c>
      <c r="X727" s="16">
        <v>0</v>
      </c>
    </row>
    <row r="728" spans="1:24" x14ac:dyDescent="0.2">
      <c r="A728" t="s">
        <v>17</v>
      </c>
      <c r="B728" t="s">
        <v>23</v>
      </c>
      <c r="C728" t="s">
        <v>61</v>
      </c>
      <c r="D728" t="s">
        <v>188</v>
      </c>
      <c r="E728" t="s">
        <v>676</v>
      </c>
      <c r="F728" t="s">
        <v>1650</v>
      </c>
      <c r="H728" t="s">
        <v>1669</v>
      </c>
      <c r="I728" t="s">
        <v>1670</v>
      </c>
      <c r="J728" t="s">
        <v>1673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f>N728-K728</f>
        <v>0</v>
      </c>
      <c r="R728">
        <f>O728-L728</f>
        <v>0</v>
      </c>
      <c r="S728">
        <f>P728-M728</f>
        <v>0</v>
      </c>
      <c r="T728">
        <v>0</v>
      </c>
      <c r="U728" s="14">
        <v>0</v>
      </c>
      <c r="V728" s="14">
        <v>0</v>
      </c>
      <c r="W728" s="16">
        <v>0</v>
      </c>
      <c r="X728" s="16">
        <v>0</v>
      </c>
    </row>
    <row r="729" spans="1:24" x14ac:dyDescent="0.2">
      <c r="A729" t="s">
        <v>15</v>
      </c>
      <c r="B729" t="s">
        <v>24</v>
      </c>
      <c r="C729" t="s">
        <v>58</v>
      </c>
      <c r="D729" t="s">
        <v>150</v>
      </c>
      <c r="E729" t="s">
        <v>425</v>
      </c>
      <c r="F729" t="s">
        <v>1652</v>
      </c>
      <c r="H729" t="s">
        <v>1669</v>
      </c>
      <c r="I729" t="s">
        <v>1670</v>
      </c>
      <c r="J729" t="s">
        <v>1674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f>N729-K729</f>
        <v>0</v>
      </c>
      <c r="R729">
        <f>O729-L729</f>
        <v>0</v>
      </c>
      <c r="S729">
        <f>P729-M729</f>
        <v>0</v>
      </c>
      <c r="T729">
        <v>0</v>
      </c>
      <c r="U729" s="14">
        <v>0</v>
      </c>
      <c r="V729" s="14">
        <v>0</v>
      </c>
      <c r="W729" s="16">
        <v>0</v>
      </c>
      <c r="X729" s="16">
        <v>0</v>
      </c>
    </row>
    <row r="730" spans="1:24" x14ac:dyDescent="0.2">
      <c r="A730" t="s">
        <v>17</v>
      </c>
      <c r="B730" t="s">
        <v>23</v>
      </c>
      <c r="C730" t="s">
        <v>45</v>
      </c>
      <c r="D730" t="s">
        <v>121</v>
      </c>
      <c r="E730" t="s">
        <v>495</v>
      </c>
      <c r="F730" t="s">
        <v>1654</v>
      </c>
      <c r="H730" t="s">
        <v>1669</v>
      </c>
      <c r="I730" t="s">
        <v>1670</v>
      </c>
      <c r="J730" t="s">
        <v>1673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f>N730-K730</f>
        <v>0</v>
      </c>
      <c r="R730">
        <f>O730-L730</f>
        <v>0</v>
      </c>
      <c r="S730">
        <f>P730-M730</f>
        <v>0</v>
      </c>
      <c r="T730">
        <v>0</v>
      </c>
      <c r="U730" s="14">
        <v>0</v>
      </c>
      <c r="V730" s="14">
        <v>0</v>
      </c>
      <c r="W730" s="16">
        <v>0</v>
      </c>
      <c r="X730" s="16">
        <v>0</v>
      </c>
    </row>
    <row r="731" spans="1:24" x14ac:dyDescent="0.2">
      <c r="A731" t="s">
        <v>13</v>
      </c>
      <c r="B731" t="s">
        <v>20</v>
      </c>
      <c r="C731" t="s">
        <v>33</v>
      </c>
      <c r="D731" t="s">
        <v>88</v>
      </c>
      <c r="E731" t="s">
        <v>302</v>
      </c>
      <c r="F731" t="s">
        <v>1656</v>
      </c>
      <c r="H731" t="s">
        <v>1669</v>
      </c>
      <c r="I731" t="s">
        <v>1671</v>
      </c>
      <c r="J731" t="s">
        <v>1674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f>N731-K731</f>
        <v>0</v>
      </c>
      <c r="R731">
        <f>O731-L731</f>
        <v>0</v>
      </c>
      <c r="S731">
        <f>P731-M731</f>
        <v>0</v>
      </c>
      <c r="T731">
        <v>0</v>
      </c>
      <c r="U731" s="14">
        <v>0</v>
      </c>
      <c r="V731" s="14">
        <v>0</v>
      </c>
      <c r="W731" s="16">
        <v>0</v>
      </c>
      <c r="X731" s="16">
        <v>0</v>
      </c>
    </row>
    <row r="732" spans="1:24" x14ac:dyDescent="0.2">
      <c r="A732" t="s">
        <v>13</v>
      </c>
      <c r="B732" t="s">
        <v>22</v>
      </c>
      <c r="C732" t="s">
        <v>36</v>
      </c>
      <c r="D732" t="s">
        <v>92</v>
      </c>
      <c r="E732" t="s">
        <v>692</v>
      </c>
      <c r="F732" t="s">
        <v>1657</v>
      </c>
      <c r="H732" t="s">
        <v>1669</v>
      </c>
      <c r="I732" t="s">
        <v>1670</v>
      </c>
      <c r="J732" t="s">
        <v>1674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f>N732-K732</f>
        <v>0</v>
      </c>
      <c r="R732">
        <f>O732-L732</f>
        <v>0</v>
      </c>
      <c r="S732">
        <f>P732-M732</f>
        <v>0</v>
      </c>
      <c r="T732">
        <v>0</v>
      </c>
      <c r="U732" s="14">
        <v>0</v>
      </c>
      <c r="V732" s="14">
        <v>0</v>
      </c>
      <c r="W732" s="16">
        <v>0</v>
      </c>
      <c r="X732" s="16">
        <v>0</v>
      </c>
    </row>
    <row r="733" spans="1:24" x14ac:dyDescent="0.2">
      <c r="A733" t="s">
        <v>15</v>
      </c>
      <c r="B733" t="s">
        <v>24</v>
      </c>
      <c r="C733" t="s">
        <v>58</v>
      </c>
      <c r="D733" t="s">
        <v>148</v>
      </c>
      <c r="E733" t="s">
        <v>407</v>
      </c>
      <c r="F733" t="s">
        <v>1658</v>
      </c>
      <c r="H733" t="s">
        <v>1669</v>
      </c>
      <c r="I733" t="s">
        <v>1670</v>
      </c>
      <c r="J733" t="s">
        <v>1674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f>N733-K733</f>
        <v>0</v>
      </c>
      <c r="R733">
        <f>O733-L733</f>
        <v>0</v>
      </c>
      <c r="S733">
        <f>P733-M733</f>
        <v>0</v>
      </c>
      <c r="T733">
        <v>0</v>
      </c>
      <c r="U733" s="14">
        <v>0</v>
      </c>
      <c r="V733" s="14">
        <v>0</v>
      </c>
      <c r="W733" s="16">
        <v>0</v>
      </c>
      <c r="X733" s="16">
        <v>0</v>
      </c>
    </row>
    <row r="734" spans="1:24" x14ac:dyDescent="0.2">
      <c r="A734" t="s">
        <v>17</v>
      </c>
      <c r="B734" t="s">
        <v>23</v>
      </c>
      <c r="C734" t="s">
        <v>61</v>
      </c>
      <c r="D734" t="s">
        <v>188</v>
      </c>
      <c r="E734" t="s">
        <v>676</v>
      </c>
      <c r="F734" t="s">
        <v>1659</v>
      </c>
      <c r="H734" t="s">
        <v>1669</v>
      </c>
      <c r="I734" t="s">
        <v>1671</v>
      </c>
      <c r="J734" t="s">
        <v>1673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f>N734-K734</f>
        <v>0</v>
      </c>
      <c r="R734">
        <f>O734-L734</f>
        <v>0</v>
      </c>
      <c r="S734">
        <f>P734-M734</f>
        <v>0</v>
      </c>
      <c r="T734">
        <v>0</v>
      </c>
      <c r="U734" s="14">
        <v>0</v>
      </c>
      <c r="V734" s="14">
        <v>0</v>
      </c>
      <c r="W734" s="16">
        <v>0</v>
      </c>
      <c r="X734" s="16">
        <v>0</v>
      </c>
    </row>
    <row r="735" spans="1:24" x14ac:dyDescent="0.2">
      <c r="A735" t="s">
        <v>15</v>
      </c>
      <c r="B735" t="s">
        <v>24</v>
      </c>
      <c r="C735" t="s">
        <v>58</v>
      </c>
      <c r="D735" t="s">
        <v>150</v>
      </c>
      <c r="E735" t="s">
        <v>585</v>
      </c>
      <c r="F735" t="s">
        <v>1660</v>
      </c>
      <c r="H735" t="s">
        <v>1669</v>
      </c>
      <c r="I735" t="s">
        <v>1670</v>
      </c>
      <c r="J735" t="s">
        <v>1674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f>N735-K735</f>
        <v>0</v>
      </c>
      <c r="R735">
        <f>O735-L735</f>
        <v>0</v>
      </c>
      <c r="S735">
        <f>P735-M735</f>
        <v>0</v>
      </c>
      <c r="T735">
        <v>0</v>
      </c>
      <c r="U735" s="14">
        <v>0</v>
      </c>
      <c r="V735" s="14">
        <v>0</v>
      </c>
      <c r="W735" s="16">
        <v>0</v>
      </c>
      <c r="X735" s="16">
        <v>0</v>
      </c>
    </row>
    <row r="736" spans="1:24" x14ac:dyDescent="0.2">
      <c r="A736" t="s">
        <v>13</v>
      </c>
      <c r="B736" t="s">
        <v>20</v>
      </c>
      <c r="C736" t="s">
        <v>33</v>
      </c>
      <c r="D736" t="s">
        <v>88</v>
      </c>
      <c r="E736" t="s">
        <v>681</v>
      </c>
      <c r="F736" t="s">
        <v>1661</v>
      </c>
      <c r="H736" t="s">
        <v>1669</v>
      </c>
      <c r="I736" t="s">
        <v>1671</v>
      </c>
      <c r="J736" t="s">
        <v>1674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f>N736-K736</f>
        <v>0</v>
      </c>
      <c r="R736">
        <f>O736-L736</f>
        <v>0</v>
      </c>
      <c r="S736">
        <f>P736-M736</f>
        <v>0</v>
      </c>
      <c r="T736">
        <v>0</v>
      </c>
      <c r="U736" s="14">
        <v>0</v>
      </c>
      <c r="V736" s="14">
        <v>0</v>
      </c>
      <c r="W736" s="16">
        <v>0</v>
      </c>
      <c r="X736" s="16">
        <v>0</v>
      </c>
    </row>
    <row r="737" spans="1:24" x14ac:dyDescent="0.2">
      <c r="A737" t="s">
        <v>13</v>
      </c>
      <c r="B737" t="s">
        <v>20</v>
      </c>
      <c r="C737" t="s">
        <v>33</v>
      </c>
      <c r="D737" t="s">
        <v>88</v>
      </c>
      <c r="E737" t="s">
        <v>302</v>
      </c>
      <c r="F737" t="s">
        <v>1662</v>
      </c>
      <c r="H737" t="s">
        <v>1669</v>
      </c>
      <c r="I737" t="s">
        <v>1671</v>
      </c>
      <c r="J737" t="s">
        <v>1674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f>N737-K737</f>
        <v>0</v>
      </c>
      <c r="R737">
        <f>O737-L737</f>
        <v>0</v>
      </c>
      <c r="S737">
        <f>P737-M737</f>
        <v>0</v>
      </c>
      <c r="T737">
        <v>0</v>
      </c>
      <c r="U737" s="14">
        <v>0</v>
      </c>
      <c r="V737" s="14">
        <v>0</v>
      </c>
      <c r="W737" s="16">
        <v>0</v>
      </c>
      <c r="X737" s="16">
        <v>0</v>
      </c>
    </row>
    <row r="738" spans="1:24" x14ac:dyDescent="0.2">
      <c r="A738" t="s">
        <v>13</v>
      </c>
      <c r="B738" t="s">
        <v>20</v>
      </c>
      <c r="C738" t="s">
        <v>33</v>
      </c>
      <c r="D738" t="s">
        <v>88</v>
      </c>
      <c r="E738" t="s">
        <v>681</v>
      </c>
      <c r="F738" t="s">
        <v>1663</v>
      </c>
      <c r="H738" t="s">
        <v>1669</v>
      </c>
      <c r="I738" t="s">
        <v>1671</v>
      </c>
      <c r="J738" t="s">
        <v>1674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f>N738-K738</f>
        <v>0</v>
      </c>
      <c r="R738">
        <f>O738-L738</f>
        <v>0</v>
      </c>
      <c r="S738">
        <f>P738-M738</f>
        <v>0</v>
      </c>
      <c r="T738">
        <v>0</v>
      </c>
      <c r="U738" s="14">
        <v>0</v>
      </c>
      <c r="V738" s="14">
        <v>0</v>
      </c>
      <c r="W738" s="16">
        <v>0</v>
      </c>
      <c r="X738" s="16">
        <v>0</v>
      </c>
    </row>
    <row r="739" spans="1:24" x14ac:dyDescent="0.2">
      <c r="A739" t="s">
        <v>14</v>
      </c>
      <c r="B739" s="35" t="s">
        <v>19</v>
      </c>
      <c r="C739" t="s">
        <v>27</v>
      </c>
      <c r="D739" t="s">
        <v>135</v>
      </c>
      <c r="E739" t="s">
        <v>384</v>
      </c>
      <c r="F739" t="s">
        <v>1528</v>
      </c>
      <c r="H739" t="s">
        <v>1670</v>
      </c>
      <c r="I739" t="s">
        <v>1670</v>
      </c>
      <c r="J739" t="s">
        <v>1674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f>N739-K739</f>
        <v>0</v>
      </c>
      <c r="R739">
        <f>O739-L739</f>
        <v>0</v>
      </c>
      <c r="S739">
        <f>P739-M739</f>
        <v>0</v>
      </c>
      <c r="T739">
        <v>3</v>
      </c>
      <c r="U739" s="14">
        <v>1126</v>
      </c>
      <c r="V739" s="14">
        <v>7</v>
      </c>
      <c r="W739" s="16">
        <v>3.6393309314893569E-6</v>
      </c>
      <c r="X739" s="16">
        <v>1.2677209275370719E-5</v>
      </c>
    </row>
    <row r="740" spans="1:24" x14ac:dyDescent="0.2">
      <c r="A740" t="s">
        <v>13</v>
      </c>
      <c r="B740" t="s">
        <v>20</v>
      </c>
      <c r="C740" t="s">
        <v>38</v>
      </c>
      <c r="D740" t="s">
        <v>102</v>
      </c>
      <c r="E740" t="s">
        <v>548</v>
      </c>
      <c r="F740" t="s">
        <v>1665</v>
      </c>
      <c r="H740" t="s">
        <v>1669</v>
      </c>
      <c r="I740" t="s">
        <v>1670</v>
      </c>
      <c r="J740" t="s">
        <v>1674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f>N740-K740</f>
        <v>0</v>
      </c>
      <c r="R740">
        <f>O740-L740</f>
        <v>0</v>
      </c>
      <c r="S740">
        <f>P740-M740</f>
        <v>0</v>
      </c>
      <c r="T740">
        <v>0</v>
      </c>
      <c r="U740" s="14">
        <v>0</v>
      </c>
      <c r="V740" s="14">
        <v>0</v>
      </c>
      <c r="W740" s="16">
        <v>0</v>
      </c>
      <c r="X740" s="16">
        <v>0</v>
      </c>
    </row>
    <row r="741" spans="1:24" x14ac:dyDescent="0.2">
      <c r="A741" t="s">
        <v>13</v>
      </c>
      <c r="B741" t="s">
        <v>20</v>
      </c>
      <c r="C741" t="s">
        <v>33</v>
      </c>
      <c r="D741" t="s">
        <v>84</v>
      </c>
      <c r="E741" t="s">
        <v>694</v>
      </c>
      <c r="F741" t="s">
        <v>1666</v>
      </c>
      <c r="H741" t="s">
        <v>1669</v>
      </c>
      <c r="I741" t="s">
        <v>1671</v>
      </c>
      <c r="J741" t="s">
        <v>1674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f>N741-K741</f>
        <v>0</v>
      </c>
      <c r="R741">
        <f>O741-L741</f>
        <v>0</v>
      </c>
      <c r="S741">
        <f>P741-M741</f>
        <v>0</v>
      </c>
      <c r="T741">
        <v>0</v>
      </c>
      <c r="U741" s="14">
        <v>0</v>
      </c>
      <c r="V741" s="14">
        <v>0</v>
      </c>
      <c r="W741" s="16">
        <v>0</v>
      </c>
      <c r="X741" s="16">
        <v>0</v>
      </c>
    </row>
    <row r="742" spans="1:24" x14ac:dyDescent="0.2">
      <c r="A742" t="s">
        <v>13</v>
      </c>
      <c r="B742" t="s">
        <v>22</v>
      </c>
      <c r="C742" t="s">
        <v>36</v>
      </c>
      <c r="D742" t="s">
        <v>205</v>
      </c>
      <c r="E742" t="s">
        <v>695</v>
      </c>
      <c r="F742" t="s">
        <v>695</v>
      </c>
      <c r="H742" t="s">
        <v>1669</v>
      </c>
      <c r="I742" t="s">
        <v>1670</v>
      </c>
      <c r="J742" t="s">
        <v>1674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f>N742-K742</f>
        <v>0</v>
      </c>
      <c r="R742">
        <f>O742-L742</f>
        <v>0</v>
      </c>
      <c r="S742">
        <f>P742-M742</f>
        <v>0</v>
      </c>
      <c r="T742">
        <v>0</v>
      </c>
      <c r="U742" s="14">
        <v>0</v>
      </c>
      <c r="V742" s="14">
        <v>0</v>
      </c>
      <c r="W742" s="16">
        <v>0</v>
      </c>
      <c r="X742" s="16">
        <v>0</v>
      </c>
    </row>
    <row r="743" spans="1:24" x14ac:dyDescent="0.2">
      <c r="A743" t="s">
        <v>13</v>
      </c>
      <c r="B743" t="s">
        <v>20</v>
      </c>
      <c r="C743" t="s">
        <v>33</v>
      </c>
      <c r="D743" t="s">
        <v>88</v>
      </c>
      <c r="E743" t="s">
        <v>681</v>
      </c>
      <c r="F743" t="s">
        <v>1667</v>
      </c>
      <c r="H743" t="s">
        <v>1669</v>
      </c>
      <c r="I743" t="s">
        <v>1671</v>
      </c>
      <c r="J743" t="s">
        <v>1674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f>N743-K743</f>
        <v>0</v>
      </c>
      <c r="R743">
        <f>O743-L743</f>
        <v>0</v>
      </c>
      <c r="S743">
        <f>P743-M743</f>
        <v>0</v>
      </c>
      <c r="T743">
        <v>0</v>
      </c>
      <c r="U743" s="14">
        <v>0</v>
      </c>
      <c r="V743" s="14">
        <v>0</v>
      </c>
      <c r="W743" s="16">
        <v>0</v>
      </c>
      <c r="X743" s="16">
        <v>0</v>
      </c>
    </row>
    <row r="744" spans="1:24" x14ac:dyDescent="0.2">
      <c r="A744" t="s">
        <v>13</v>
      </c>
      <c r="B744" t="s">
        <v>20</v>
      </c>
      <c r="C744" t="s">
        <v>38</v>
      </c>
      <c r="D744" t="s">
        <v>102</v>
      </c>
      <c r="E744" t="s">
        <v>548</v>
      </c>
      <c r="F744" t="s">
        <v>1668</v>
      </c>
      <c r="H744" t="s">
        <v>1669</v>
      </c>
      <c r="I744" t="s">
        <v>1670</v>
      </c>
      <c r="J744" t="s">
        <v>1674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f>N744-K744</f>
        <v>0</v>
      </c>
      <c r="R744">
        <f>O744-L744</f>
        <v>0</v>
      </c>
      <c r="S744">
        <f>P744-M744</f>
        <v>0</v>
      </c>
      <c r="T744">
        <v>0</v>
      </c>
      <c r="U744" s="14">
        <v>0</v>
      </c>
      <c r="V744" s="14">
        <v>0</v>
      </c>
      <c r="W744" s="16">
        <v>0</v>
      </c>
      <c r="X744" s="16">
        <v>0</v>
      </c>
    </row>
    <row r="745" spans="1:24" x14ac:dyDescent="0.2">
      <c r="A745" t="s">
        <v>14</v>
      </c>
      <c r="B745" s="1" t="s">
        <v>19</v>
      </c>
      <c r="C745" s="2" t="s">
        <v>48</v>
      </c>
      <c r="D745" s="2" t="s">
        <v>132</v>
      </c>
      <c r="E745" s="2" t="s">
        <v>376</v>
      </c>
      <c r="F745" s="2" t="s">
        <v>1675</v>
      </c>
      <c r="G745" s="2"/>
      <c r="H745" t="s">
        <v>1669</v>
      </c>
      <c r="I745" s="3">
        <v>0</v>
      </c>
      <c r="J745" t="s">
        <v>1674</v>
      </c>
      <c r="K745">
        <v>1</v>
      </c>
      <c r="L745">
        <v>0</v>
      </c>
      <c r="M745">
        <v>1</v>
      </c>
      <c r="N745">
        <v>1</v>
      </c>
      <c r="O745">
        <v>0</v>
      </c>
      <c r="P745">
        <v>1</v>
      </c>
      <c r="Q745">
        <f>N745-K745</f>
        <v>0</v>
      </c>
      <c r="R745">
        <f>O745-L745</f>
        <v>0</v>
      </c>
      <c r="S745">
        <f>P745-M745</f>
        <v>0</v>
      </c>
      <c r="T745">
        <v>1</v>
      </c>
      <c r="U745" s="14">
        <v>603.24</v>
      </c>
      <c r="V745" s="14">
        <v>1</v>
      </c>
      <c r="W745" s="16">
        <v>1.9497246812714383E-6</v>
      </c>
      <c r="X745" s="16">
        <v>1.8110298964815312E-6</v>
      </c>
    </row>
    <row r="746" spans="1:24" x14ac:dyDescent="0.2">
      <c r="A746" t="s">
        <v>17</v>
      </c>
      <c r="B746" t="s">
        <v>23</v>
      </c>
      <c r="C746" t="s">
        <v>61</v>
      </c>
      <c r="D746" t="s">
        <v>182</v>
      </c>
      <c r="E746" t="s">
        <v>563</v>
      </c>
      <c r="F746" t="s">
        <v>1694</v>
      </c>
      <c r="H746" t="s">
        <v>1669</v>
      </c>
      <c r="I746" t="s">
        <v>1671</v>
      </c>
      <c r="J746" t="s">
        <v>1674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1</v>
      </c>
      <c r="Q746">
        <f>N746-K746</f>
        <v>0</v>
      </c>
      <c r="R746">
        <f>O746-L746</f>
        <v>0</v>
      </c>
      <c r="S746">
        <f>P746-M746</f>
        <v>0</v>
      </c>
      <c r="T746">
        <v>0</v>
      </c>
      <c r="U746" s="14">
        <v>0</v>
      </c>
      <c r="V746" s="14">
        <v>0</v>
      </c>
      <c r="W746" s="16">
        <v>0</v>
      </c>
      <c r="X746" s="16">
        <v>0</v>
      </c>
    </row>
    <row r="747" spans="1:24" x14ac:dyDescent="0.2">
      <c r="A747" t="s">
        <v>17</v>
      </c>
      <c r="B747" t="s">
        <v>23</v>
      </c>
      <c r="C747" t="s">
        <v>61</v>
      </c>
      <c r="D747" t="s">
        <v>182</v>
      </c>
      <c r="E747" t="s">
        <v>500</v>
      </c>
      <c r="F747" t="s">
        <v>1695</v>
      </c>
      <c r="H747" t="s">
        <v>1669</v>
      </c>
      <c r="I747" t="s">
        <v>1671</v>
      </c>
      <c r="J747" t="s">
        <v>1674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1</v>
      </c>
      <c r="Q747">
        <f>N747-K747</f>
        <v>0</v>
      </c>
      <c r="R747">
        <f>O747-L747</f>
        <v>0</v>
      </c>
      <c r="S747">
        <f>P747-M747</f>
        <v>0</v>
      </c>
      <c r="T747">
        <v>2</v>
      </c>
      <c r="U747" s="14">
        <v>1682</v>
      </c>
      <c r="V747" s="14">
        <v>2</v>
      </c>
      <c r="W747" s="16">
        <v>5.4363717822070145E-6</v>
      </c>
      <c r="X747" s="16">
        <v>3.6220597929630623E-6</v>
      </c>
    </row>
    <row r="748" spans="1:24" x14ac:dyDescent="0.2">
      <c r="A748" t="s">
        <v>12</v>
      </c>
      <c r="B748" t="s">
        <v>19</v>
      </c>
      <c r="C748" t="s">
        <v>28</v>
      </c>
      <c r="D748" t="s">
        <v>71</v>
      </c>
      <c r="E748" t="s">
        <v>259</v>
      </c>
      <c r="F748" t="s">
        <v>709</v>
      </c>
      <c r="H748" t="s">
        <v>1669</v>
      </c>
      <c r="I748" t="s">
        <v>1671</v>
      </c>
      <c r="J748" t="s">
        <v>1673</v>
      </c>
      <c r="K748">
        <v>1</v>
      </c>
      <c r="L748">
        <v>1</v>
      </c>
      <c r="M748">
        <v>2</v>
      </c>
      <c r="N748">
        <v>2</v>
      </c>
      <c r="O748">
        <v>0</v>
      </c>
      <c r="P748">
        <v>2</v>
      </c>
      <c r="Q748">
        <f>N748-K748</f>
        <v>1</v>
      </c>
      <c r="R748">
        <f>O748-L748</f>
        <v>-1</v>
      </c>
      <c r="S748">
        <f>P748-M748</f>
        <v>0</v>
      </c>
      <c r="T748">
        <v>12</v>
      </c>
      <c r="U748" s="14">
        <v>77302.61</v>
      </c>
      <c r="V748" s="14">
        <v>379</v>
      </c>
      <c r="W748" s="16">
        <v>2.4984882740484765E-4</v>
      </c>
      <c r="X748" s="16">
        <v>6.8638033076650034E-4</v>
      </c>
    </row>
    <row r="749" spans="1:24" x14ac:dyDescent="0.2">
      <c r="A749" t="s">
        <v>12</v>
      </c>
      <c r="B749" t="s">
        <v>19</v>
      </c>
      <c r="C749" t="s">
        <v>28</v>
      </c>
      <c r="D749" t="s">
        <v>76</v>
      </c>
      <c r="E749" t="s">
        <v>274</v>
      </c>
      <c r="F749" t="s">
        <v>723</v>
      </c>
      <c r="H749" t="s">
        <v>1669</v>
      </c>
      <c r="I749" t="s">
        <v>1671</v>
      </c>
      <c r="J749" t="s">
        <v>1674</v>
      </c>
      <c r="K749">
        <v>1</v>
      </c>
      <c r="L749">
        <v>1</v>
      </c>
      <c r="M749">
        <v>2</v>
      </c>
      <c r="N749">
        <v>2</v>
      </c>
      <c r="O749">
        <v>0</v>
      </c>
      <c r="P749">
        <v>2</v>
      </c>
      <c r="Q749">
        <f>N749-K749</f>
        <v>1</v>
      </c>
      <c r="R749">
        <f>O749-L749</f>
        <v>-1</v>
      </c>
      <c r="S749">
        <f>P749-M749</f>
        <v>0</v>
      </c>
      <c r="T749">
        <v>23</v>
      </c>
      <c r="U749" s="14">
        <v>26584.730000000003</v>
      </c>
      <c r="V749" s="14">
        <v>89</v>
      </c>
      <c r="W749" s="16">
        <v>8.5924183121041794E-5</v>
      </c>
      <c r="X749" s="16">
        <v>1.6118166078685626E-4</v>
      </c>
    </row>
    <row r="750" spans="1:24" x14ac:dyDescent="0.2">
      <c r="A750" t="s">
        <v>12</v>
      </c>
      <c r="B750" t="s">
        <v>19</v>
      </c>
      <c r="C750" t="s">
        <v>28</v>
      </c>
      <c r="D750" t="s">
        <v>77</v>
      </c>
      <c r="E750" t="s">
        <v>275</v>
      </c>
      <c r="F750" t="s">
        <v>275</v>
      </c>
      <c r="H750" t="s">
        <v>1669</v>
      </c>
      <c r="I750" t="s">
        <v>1670</v>
      </c>
      <c r="J750" t="s">
        <v>1674</v>
      </c>
      <c r="K750">
        <v>1</v>
      </c>
      <c r="L750">
        <v>1</v>
      </c>
      <c r="M750">
        <v>2</v>
      </c>
      <c r="N750">
        <v>2</v>
      </c>
      <c r="O750">
        <v>0</v>
      </c>
      <c r="P750">
        <v>2</v>
      </c>
      <c r="Q750">
        <f>N750-K750</f>
        <v>1</v>
      </c>
      <c r="R750">
        <f>O750-L750</f>
        <v>-1</v>
      </c>
      <c r="S750">
        <f>P750-M750</f>
        <v>0</v>
      </c>
      <c r="T750">
        <v>0</v>
      </c>
      <c r="U750" s="14">
        <v>0</v>
      </c>
      <c r="V750" s="14">
        <v>0</v>
      </c>
      <c r="W750" s="16">
        <v>0</v>
      </c>
      <c r="X750" s="16">
        <v>0</v>
      </c>
    </row>
    <row r="751" spans="1:24" x14ac:dyDescent="0.2">
      <c r="A751" t="s">
        <v>12</v>
      </c>
      <c r="B751" t="s">
        <v>18</v>
      </c>
      <c r="C751" t="s">
        <v>32</v>
      </c>
      <c r="D751" t="s">
        <v>83</v>
      </c>
      <c r="E751" t="s">
        <v>287</v>
      </c>
      <c r="F751" t="s">
        <v>743</v>
      </c>
      <c r="H751" t="s">
        <v>1669</v>
      </c>
      <c r="I751" t="s">
        <v>1670</v>
      </c>
      <c r="J751" t="s">
        <v>1674</v>
      </c>
      <c r="K751">
        <v>2</v>
      </c>
      <c r="L751">
        <v>1</v>
      </c>
      <c r="M751">
        <v>3</v>
      </c>
      <c r="N751">
        <v>3</v>
      </c>
      <c r="O751">
        <v>0</v>
      </c>
      <c r="P751">
        <v>3</v>
      </c>
      <c r="Q751">
        <f>N751-K751</f>
        <v>1</v>
      </c>
      <c r="R751">
        <f>O751-L751</f>
        <v>-1</v>
      </c>
      <c r="S751">
        <f>P751-M751</f>
        <v>0</v>
      </c>
      <c r="T751">
        <v>305</v>
      </c>
      <c r="U751" s="14">
        <v>1907762.24</v>
      </c>
      <c r="V751" s="14">
        <v>1996</v>
      </c>
      <c r="W751" s="16">
        <v>6.1660551775838566E-3</v>
      </c>
      <c r="X751" s="16">
        <v>3.6148156733771361E-3</v>
      </c>
    </row>
    <row r="752" spans="1:24" x14ac:dyDescent="0.2">
      <c r="A752" t="s">
        <v>13</v>
      </c>
      <c r="B752" t="s">
        <v>20</v>
      </c>
      <c r="C752" t="s">
        <v>33</v>
      </c>
      <c r="D752" t="s">
        <v>84</v>
      </c>
      <c r="E752" t="s">
        <v>289</v>
      </c>
      <c r="F752" t="s">
        <v>798</v>
      </c>
      <c r="H752" t="s">
        <v>1669</v>
      </c>
      <c r="I752" t="s">
        <v>1670</v>
      </c>
      <c r="J752" t="s">
        <v>1674</v>
      </c>
      <c r="K752">
        <v>9</v>
      </c>
      <c r="L752">
        <v>1</v>
      </c>
      <c r="M752">
        <v>10</v>
      </c>
      <c r="N752">
        <v>10</v>
      </c>
      <c r="O752">
        <v>0</v>
      </c>
      <c r="P752">
        <v>10</v>
      </c>
      <c r="Q752">
        <f>N752-K752</f>
        <v>1</v>
      </c>
      <c r="R752">
        <f>O752-L752</f>
        <v>-1</v>
      </c>
      <c r="S752">
        <f>P752-M752</f>
        <v>0</v>
      </c>
      <c r="T752">
        <v>10</v>
      </c>
      <c r="U752" s="14">
        <v>166144</v>
      </c>
      <c r="V752" s="14">
        <v>31</v>
      </c>
      <c r="W752" s="16">
        <v>5.3699200557847933E-4</v>
      </c>
      <c r="X752" s="16">
        <v>5.6141926790927467E-5</v>
      </c>
    </row>
    <row r="753" spans="1:24" x14ac:dyDescent="0.2">
      <c r="A753" t="s">
        <v>15</v>
      </c>
      <c r="B753" t="s">
        <v>24</v>
      </c>
      <c r="C753" t="s">
        <v>58</v>
      </c>
      <c r="D753" t="s">
        <v>148</v>
      </c>
      <c r="E753" t="s">
        <v>407</v>
      </c>
      <c r="F753" t="s">
        <v>945</v>
      </c>
      <c r="H753" t="s">
        <v>1669</v>
      </c>
      <c r="I753" t="s">
        <v>1670</v>
      </c>
      <c r="J753" t="s">
        <v>1674</v>
      </c>
      <c r="K753">
        <v>3</v>
      </c>
      <c r="L753">
        <v>1</v>
      </c>
      <c r="M753">
        <v>4</v>
      </c>
      <c r="N753">
        <v>4</v>
      </c>
      <c r="O753">
        <v>0</v>
      </c>
      <c r="P753">
        <v>4</v>
      </c>
      <c r="Q753">
        <f>N753-K753</f>
        <v>1</v>
      </c>
      <c r="R753">
        <f>O753-L753</f>
        <v>-1</v>
      </c>
      <c r="S753">
        <f>P753-M753</f>
        <v>0</v>
      </c>
      <c r="T753">
        <v>2</v>
      </c>
      <c r="U753" s="14">
        <v>3158.1400000000003</v>
      </c>
      <c r="V753" s="14">
        <v>20</v>
      </c>
      <c r="W753" s="16">
        <v>1.0207385957347956E-5</v>
      </c>
      <c r="X753" s="16">
        <v>3.6220597929630622E-5</v>
      </c>
    </row>
    <row r="754" spans="1:24" x14ac:dyDescent="0.2">
      <c r="A754" t="s">
        <v>14</v>
      </c>
      <c r="B754" t="s">
        <v>19</v>
      </c>
      <c r="C754" t="s">
        <v>48</v>
      </c>
      <c r="D754" t="s">
        <v>131</v>
      </c>
      <c r="E754" t="s">
        <v>526</v>
      </c>
      <c r="F754" t="s">
        <v>1154</v>
      </c>
      <c r="H754" t="s">
        <v>1669</v>
      </c>
      <c r="I754" t="s">
        <v>1670</v>
      </c>
      <c r="J754" t="s">
        <v>1674</v>
      </c>
      <c r="K754">
        <v>0</v>
      </c>
      <c r="L754">
        <v>2</v>
      </c>
      <c r="M754">
        <v>2</v>
      </c>
      <c r="N754">
        <v>1</v>
      </c>
      <c r="O754">
        <v>1</v>
      </c>
      <c r="P754">
        <v>2</v>
      </c>
      <c r="Q754">
        <f>N754-K754</f>
        <v>1</v>
      </c>
      <c r="R754">
        <f>O754-L754</f>
        <v>-1</v>
      </c>
      <c r="S754">
        <f>P754-M754</f>
        <v>0</v>
      </c>
      <c r="T754">
        <v>10</v>
      </c>
      <c r="U754" s="14">
        <v>38428.410000000003</v>
      </c>
      <c r="V754" s="14">
        <v>85</v>
      </c>
      <c r="W754" s="16">
        <v>1.2420399747864558E-4</v>
      </c>
      <c r="X754" s="16">
        <v>1.5393754120093014E-4</v>
      </c>
    </row>
    <row r="755" spans="1:24" x14ac:dyDescent="0.2">
      <c r="A755" t="s">
        <v>17</v>
      </c>
      <c r="B755" t="s">
        <v>23</v>
      </c>
      <c r="C755" t="s">
        <v>61</v>
      </c>
      <c r="D755" t="s">
        <v>184</v>
      </c>
      <c r="E755" t="s">
        <v>184</v>
      </c>
      <c r="F755" t="s">
        <v>1170</v>
      </c>
      <c r="H755" t="s">
        <v>1669</v>
      </c>
      <c r="I755" t="s">
        <v>1671</v>
      </c>
      <c r="J755" t="s">
        <v>1674</v>
      </c>
      <c r="K755">
        <v>0</v>
      </c>
      <c r="L755">
        <v>2</v>
      </c>
      <c r="M755">
        <v>2</v>
      </c>
      <c r="N755">
        <v>1</v>
      </c>
      <c r="O755">
        <v>1</v>
      </c>
      <c r="P755">
        <v>2</v>
      </c>
      <c r="Q755">
        <f>N755-K755</f>
        <v>1</v>
      </c>
      <c r="R755">
        <f>O755-L755</f>
        <v>-1</v>
      </c>
      <c r="S755">
        <f>P755-M755</f>
        <v>0</v>
      </c>
      <c r="T755">
        <v>0</v>
      </c>
      <c r="U755" s="14">
        <v>0</v>
      </c>
      <c r="V755" s="14">
        <v>0</v>
      </c>
      <c r="W755" s="16">
        <v>0</v>
      </c>
      <c r="X755" s="16">
        <v>0</v>
      </c>
    </row>
    <row r="756" spans="1:24" x14ac:dyDescent="0.2">
      <c r="A756" t="s">
        <v>12</v>
      </c>
      <c r="B756" t="s">
        <v>19</v>
      </c>
      <c r="C756" t="s">
        <v>28</v>
      </c>
      <c r="D756" t="s">
        <v>72</v>
      </c>
      <c r="E756" t="s">
        <v>540</v>
      </c>
      <c r="F756" t="s">
        <v>1180</v>
      </c>
      <c r="H756" t="s">
        <v>1669</v>
      </c>
      <c r="I756" t="s">
        <v>1671</v>
      </c>
      <c r="J756" t="s">
        <v>1673</v>
      </c>
      <c r="K756">
        <v>0</v>
      </c>
      <c r="L756">
        <v>1</v>
      </c>
      <c r="M756">
        <v>1</v>
      </c>
      <c r="N756">
        <v>1</v>
      </c>
      <c r="O756">
        <v>0</v>
      </c>
      <c r="P756">
        <v>1</v>
      </c>
      <c r="Q756">
        <f>N756-K756</f>
        <v>1</v>
      </c>
      <c r="R756">
        <f>O756-L756</f>
        <v>-1</v>
      </c>
      <c r="S756">
        <f>P756-M756</f>
        <v>0</v>
      </c>
      <c r="T756">
        <v>9</v>
      </c>
      <c r="U756" s="14">
        <v>19764.809999999998</v>
      </c>
      <c r="V756" s="14">
        <v>30</v>
      </c>
      <c r="W756" s="16">
        <v>6.3881602476030321E-5</v>
      </c>
      <c r="X756" s="16">
        <v>5.4330896894445936E-5</v>
      </c>
    </row>
    <row r="757" spans="1:24" x14ac:dyDescent="0.2">
      <c r="A757" t="s">
        <v>12</v>
      </c>
      <c r="B757" t="s">
        <v>18</v>
      </c>
      <c r="C757" t="s">
        <v>32</v>
      </c>
      <c r="D757" t="s">
        <v>83</v>
      </c>
      <c r="E757" t="s">
        <v>284</v>
      </c>
      <c r="F757" t="s">
        <v>1205</v>
      </c>
      <c r="H757" t="s">
        <v>1669</v>
      </c>
      <c r="I757" t="s">
        <v>1670</v>
      </c>
      <c r="J757" t="s">
        <v>1674</v>
      </c>
      <c r="K757">
        <v>0</v>
      </c>
      <c r="L757">
        <v>1</v>
      </c>
      <c r="M757">
        <v>1</v>
      </c>
      <c r="N757">
        <v>1</v>
      </c>
      <c r="O757">
        <v>0</v>
      </c>
      <c r="P757">
        <v>1</v>
      </c>
      <c r="Q757">
        <f>N757-K757</f>
        <v>1</v>
      </c>
      <c r="R757">
        <f>O757-L757</f>
        <v>-1</v>
      </c>
      <c r="S757">
        <f>P757-M757</f>
        <v>0</v>
      </c>
      <c r="T757">
        <v>2</v>
      </c>
      <c r="U757" s="14">
        <v>20756.689999999999</v>
      </c>
      <c r="V757" s="14">
        <v>22</v>
      </c>
      <c r="W757" s="16">
        <v>6.7087445783601971E-5</v>
      </c>
      <c r="X757" s="16">
        <v>3.9842657722593683E-5</v>
      </c>
    </row>
    <row r="758" spans="1:24" x14ac:dyDescent="0.2">
      <c r="A758" t="s">
        <v>14</v>
      </c>
      <c r="B758" t="s">
        <v>19</v>
      </c>
      <c r="C758" t="s">
        <v>48</v>
      </c>
      <c r="D758" t="s">
        <v>132</v>
      </c>
      <c r="E758" t="s">
        <v>539</v>
      </c>
      <c r="F758" t="s">
        <v>1209</v>
      </c>
      <c r="H758" t="s">
        <v>1669</v>
      </c>
      <c r="I758" t="s">
        <v>1670</v>
      </c>
      <c r="J758" t="s">
        <v>1674</v>
      </c>
      <c r="K758">
        <v>0</v>
      </c>
      <c r="L758">
        <v>1</v>
      </c>
      <c r="M758">
        <v>1</v>
      </c>
      <c r="N758">
        <v>1</v>
      </c>
      <c r="O758">
        <v>0</v>
      </c>
      <c r="P758">
        <v>1</v>
      </c>
      <c r="Q758">
        <f>N758-K758</f>
        <v>1</v>
      </c>
      <c r="R758">
        <f>O758-L758</f>
        <v>-1</v>
      </c>
      <c r="S758">
        <f>P758-M758</f>
        <v>0</v>
      </c>
      <c r="T758">
        <v>1</v>
      </c>
      <c r="U758" s="14">
        <v>229</v>
      </c>
      <c r="V758" s="14">
        <v>1</v>
      </c>
      <c r="W758" s="16">
        <v>7.401481201696827E-7</v>
      </c>
      <c r="X758" s="16">
        <v>1.8110298964815312E-6</v>
      </c>
    </row>
    <row r="759" spans="1:24" x14ac:dyDescent="0.2">
      <c r="A759" t="s">
        <v>14</v>
      </c>
      <c r="B759" t="s">
        <v>19</v>
      </c>
      <c r="C759" t="s">
        <v>48</v>
      </c>
      <c r="D759" t="s">
        <v>131</v>
      </c>
      <c r="E759" t="s">
        <v>554</v>
      </c>
      <c r="F759" t="s">
        <v>1214</v>
      </c>
      <c r="H759" t="s">
        <v>1669</v>
      </c>
      <c r="I759" t="s">
        <v>1670</v>
      </c>
      <c r="J759" t="s">
        <v>1674</v>
      </c>
      <c r="K759">
        <v>0</v>
      </c>
      <c r="L759">
        <v>2</v>
      </c>
      <c r="M759">
        <v>2</v>
      </c>
      <c r="N759">
        <v>1</v>
      </c>
      <c r="O759">
        <v>1</v>
      </c>
      <c r="P759">
        <v>2</v>
      </c>
      <c r="Q759">
        <f>N759-K759</f>
        <v>1</v>
      </c>
      <c r="R759">
        <f>O759-L759</f>
        <v>-1</v>
      </c>
      <c r="S759">
        <f>P759-M759</f>
        <v>0</v>
      </c>
      <c r="T759">
        <v>68</v>
      </c>
      <c r="U759" s="14">
        <v>2441309.2099999995</v>
      </c>
      <c r="V759" s="14">
        <v>2871</v>
      </c>
      <c r="W759" s="16">
        <v>7.8905258625957767E-3</v>
      </c>
      <c r="X759" s="16">
        <v>5.1994668327984758E-3</v>
      </c>
    </row>
    <row r="760" spans="1:24" x14ac:dyDescent="0.2">
      <c r="A760" t="s">
        <v>14</v>
      </c>
      <c r="B760" t="s">
        <v>19</v>
      </c>
      <c r="C760" t="s">
        <v>48</v>
      </c>
      <c r="D760" t="s">
        <v>132</v>
      </c>
      <c r="E760" t="s">
        <v>559</v>
      </c>
      <c r="F760" t="s">
        <v>1223</v>
      </c>
      <c r="H760" t="s">
        <v>1669</v>
      </c>
      <c r="I760" t="s">
        <v>1670</v>
      </c>
      <c r="J760" t="s">
        <v>1674</v>
      </c>
      <c r="K760">
        <v>0</v>
      </c>
      <c r="L760">
        <v>1</v>
      </c>
      <c r="M760">
        <v>1</v>
      </c>
      <c r="N760">
        <v>1</v>
      </c>
      <c r="O760">
        <v>0</v>
      </c>
      <c r="P760">
        <v>1</v>
      </c>
      <c r="Q760">
        <f>N760-K760</f>
        <v>1</v>
      </c>
      <c r="R760">
        <f>O760-L760</f>
        <v>-1</v>
      </c>
      <c r="S760">
        <f>P760-M760</f>
        <v>0</v>
      </c>
      <c r="T760">
        <v>2</v>
      </c>
      <c r="U760" s="14">
        <v>8192.2799999999988</v>
      </c>
      <c r="V760" s="14">
        <v>9</v>
      </c>
      <c r="W760" s="16">
        <v>2.6478168741937499E-5</v>
      </c>
      <c r="X760" s="16">
        <v>1.629926906833378E-5</v>
      </c>
    </row>
    <row r="761" spans="1:24" x14ac:dyDescent="0.2">
      <c r="A761" t="s">
        <v>14</v>
      </c>
      <c r="B761" t="s">
        <v>19</v>
      </c>
      <c r="C761" t="s">
        <v>48</v>
      </c>
      <c r="D761" t="s">
        <v>131</v>
      </c>
      <c r="E761" t="s">
        <v>535</v>
      </c>
      <c r="F761" t="s">
        <v>1226</v>
      </c>
      <c r="H761" t="s">
        <v>1669</v>
      </c>
      <c r="I761" t="s">
        <v>1670</v>
      </c>
      <c r="J761" t="s">
        <v>1674</v>
      </c>
      <c r="K761">
        <v>0</v>
      </c>
      <c r="L761">
        <v>2</v>
      </c>
      <c r="M761">
        <v>2</v>
      </c>
      <c r="N761">
        <v>1</v>
      </c>
      <c r="O761">
        <v>1</v>
      </c>
      <c r="P761">
        <v>2</v>
      </c>
      <c r="Q761">
        <f>N761-K761</f>
        <v>1</v>
      </c>
      <c r="R761">
        <f>O761-L761</f>
        <v>-1</v>
      </c>
      <c r="S761">
        <f>P761-M761</f>
        <v>0</v>
      </c>
      <c r="T761">
        <v>5</v>
      </c>
      <c r="U761" s="14">
        <v>6734.6699999999992</v>
      </c>
      <c r="V761" s="14">
        <v>46</v>
      </c>
      <c r="W761" s="16">
        <v>2.1767045154860947E-5</v>
      </c>
      <c r="X761" s="16">
        <v>8.3307375238150428E-5</v>
      </c>
    </row>
    <row r="762" spans="1:24" x14ac:dyDescent="0.2">
      <c r="A762" t="s">
        <v>13</v>
      </c>
      <c r="B762" t="s">
        <v>21</v>
      </c>
      <c r="C762" t="s">
        <v>35</v>
      </c>
      <c r="D762" t="s">
        <v>201</v>
      </c>
      <c r="E762" t="s">
        <v>568</v>
      </c>
      <c r="F762" t="s">
        <v>1241</v>
      </c>
      <c r="H762" t="s">
        <v>1669</v>
      </c>
      <c r="I762" t="s">
        <v>1671</v>
      </c>
      <c r="J762" t="s">
        <v>1674</v>
      </c>
      <c r="K762">
        <v>0</v>
      </c>
      <c r="L762">
        <v>2</v>
      </c>
      <c r="M762">
        <v>2</v>
      </c>
      <c r="N762">
        <v>1</v>
      </c>
      <c r="O762">
        <v>1</v>
      </c>
      <c r="P762">
        <v>2</v>
      </c>
      <c r="Q762">
        <f>N762-K762</f>
        <v>1</v>
      </c>
      <c r="R762">
        <f>O762-L762</f>
        <v>-1</v>
      </c>
      <c r="S762">
        <f>P762-M762</f>
        <v>0</v>
      </c>
      <c r="T762">
        <v>8</v>
      </c>
      <c r="U762" s="14">
        <v>13699.359999999999</v>
      </c>
      <c r="V762" s="14">
        <v>59</v>
      </c>
      <c r="W762" s="16">
        <v>4.4277535159509795E-5</v>
      </c>
      <c r="X762" s="16">
        <v>1.0685076389241034E-4</v>
      </c>
    </row>
    <row r="763" spans="1:24" x14ac:dyDescent="0.2">
      <c r="A763" t="s">
        <v>17</v>
      </c>
      <c r="B763" t="s">
        <v>24</v>
      </c>
      <c r="C763" t="s">
        <v>58</v>
      </c>
      <c r="D763" t="s">
        <v>150</v>
      </c>
      <c r="E763" t="s">
        <v>577</v>
      </c>
      <c r="F763" t="s">
        <v>1281</v>
      </c>
      <c r="H763" t="s">
        <v>1669</v>
      </c>
      <c r="I763" t="s">
        <v>1671</v>
      </c>
      <c r="J763" t="s">
        <v>1674</v>
      </c>
      <c r="K763">
        <v>0</v>
      </c>
      <c r="L763">
        <v>1</v>
      </c>
      <c r="M763">
        <v>1</v>
      </c>
      <c r="N763">
        <v>1</v>
      </c>
      <c r="O763">
        <v>0</v>
      </c>
      <c r="P763">
        <v>1</v>
      </c>
      <c r="Q763">
        <f>N763-K763</f>
        <v>1</v>
      </c>
      <c r="R763">
        <f>O763-L763</f>
        <v>-1</v>
      </c>
      <c r="S763">
        <f>P763-M763</f>
        <v>0</v>
      </c>
      <c r="T763">
        <v>3</v>
      </c>
      <c r="U763" s="14">
        <v>4718.54</v>
      </c>
      <c r="V763" s="14">
        <v>22</v>
      </c>
      <c r="W763" s="16">
        <v>1.5250735855657007E-5</v>
      </c>
      <c r="X763" s="16">
        <v>3.9842657722593683E-5</v>
      </c>
    </row>
    <row r="764" spans="1:24" x14ac:dyDescent="0.2">
      <c r="A764" t="s">
        <v>15</v>
      </c>
      <c r="B764" t="s">
        <v>24</v>
      </c>
      <c r="C764" t="s">
        <v>58</v>
      </c>
      <c r="D764" t="s">
        <v>148</v>
      </c>
      <c r="E764" t="s">
        <v>407</v>
      </c>
      <c r="F764" t="s">
        <v>1283</v>
      </c>
      <c r="H764" t="s">
        <v>1669</v>
      </c>
      <c r="I764" t="s">
        <v>1670</v>
      </c>
      <c r="J764" t="s">
        <v>1674</v>
      </c>
      <c r="K764">
        <v>0</v>
      </c>
      <c r="L764">
        <v>1</v>
      </c>
      <c r="M764">
        <v>1</v>
      </c>
      <c r="N764">
        <v>1</v>
      </c>
      <c r="O764">
        <v>0</v>
      </c>
      <c r="P764">
        <v>1</v>
      </c>
      <c r="Q764">
        <f>N764-K764</f>
        <v>1</v>
      </c>
      <c r="R764">
        <f>O764-L764</f>
        <v>-1</v>
      </c>
      <c r="S764">
        <f>P764-M764</f>
        <v>0</v>
      </c>
      <c r="T764">
        <v>3</v>
      </c>
      <c r="U764" s="14">
        <v>7307.83</v>
      </c>
      <c r="V764" s="14">
        <v>49</v>
      </c>
      <c r="W764" s="16">
        <v>2.3619548633273417E-5</v>
      </c>
      <c r="X764" s="16">
        <v>8.874046492759502E-5</v>
      </c>
    </row>
    <row r="765" spans="1:24" x14ac:dyDescent="0.2">
      <c r="A765" t="s">
        <v>17</v>
      </c>
      <c r="B765" t="s">
        <v>23</v>
      </c>
      <c r="C765" t="s">
        <v>60</v>
      </c>
      <c r="D765" t="s">
        <v>173</v>
      </c>
      <c r="E765" t="s">
        <v>476</v>
      </c>
      <c r="F765" t="s">
        <v>1285</v>
      </c>
      <c r="H765" t="s">
        <v>1669</v>
      </c>
      <c r="I765" t="s">
        <v>1670</v>
      </c>
      <c r="J765" t="s">
        <v>1674</v>
      </c>
      <c r="K765">
        <v>0</v>
      </c>
      <c r="L765">
        <v>1</v>
      </c>
      <c r="M765">
        <v>1</v>
      </c>
      <c r="N765">
        <v>1</v>
      </c>
      <c r="O765">
        <v>0</v>
      </c>
      <c r="P765">
        <v>1</v>
      </c>
      <c r="Q765">
        <f>N765-K765</f>
        <v>1</v>
      </c>
      <c r="R765">
        <f>O765-L765</f>
        <v>-1</v>
      </c>
      <c r="S765">
        <f>P765-M765</f>
        <v>0</v>
      </c>
      <c r="T765">
        <v>17</v>
      </c>
      <c r="U765" s="14">
        <v>22645.449999999997</v>
      </c>
      <c r="V765" s="14">
        <v>229</v>
      </c>
      <c r="W765" s="16">
        <v>7.3192084051949957E-5</v>
      </c>
      <c r="X765" s="16">
        <v>4.1472584629427062E-4</v>
      </c>
    </row>
    <row r="766" spans="1:24" x14ac:dyDescent="0.2">
      <c r="A766" t="s">
        <v>12</v>
      </c>
      <c r="B766" t="s">
        <v>19</v>
      </c>
      <c r="C766" t="s">
        <v>28</v>
      </c>
      <c r="D766" t="s">
        <v>72</v>
      </c>
      <c r="E766" t="s">
        <v>531</v>
      </c>
      <c r="F766" t="s">
        <v>531</v>
      </c>
      <c r="H766" t="s">
        <v>1669</v>
      </c>
      <c r="I766" t="s">
        <v>1670</v>
      </c>
      <c r="J766" t="s">
        <v>1674</v>
      </c>
      <c r="K766">
        <v>0</v>
      </c>
      <c r="L766">
        <v>2</v>
      </c>
      <c r="M766">
        <v>2</v>
      </c>
      <c r="N766">
        <v>2</v>
      </c>
      <c r="O766">
        <v>0</v>
      </c>
      <c r="P766">
        <v>2</v>
      </c>
      <c r="Q766">
        <f>N766-K766</f>
        <v>2</v>
      </c>
      <c r="R766">
        <f>O766-L766</f>
        <v>-2</v>
      </c>
      <c r="S766">
        <f>P766-M766</f>
        <v>0</v>
      </c>
      <c r="T766">
        <v>25</v>
      </c>
      <c r="U766" s="14">
        <v>68122.449999999983</v>
      </c>
      <c r="V766" s="14">
        <v>181</v>
      </c>
      <c r="W766" s="16">
        <v>2.2017774370678249E-4</v>
      </c>
      <c r="X766" s="16">
        <v>3.2779641126315715E-4</v>
      </c>
    </row>
    <row r="767" spans="1:24" x14ac:dyDescent="0.2">
      <c r="A767" t="s">
        <v>15</v>
      </c>
      <c r="B767" t="s">
        <v>24</v>
      </c>
      <c r="C767" t="s">
        <v>49</v>
      </c>
      <c r="D767" t="s">
        <v>152</v>
      </c>
      <c r="E767" t="s">
        <v>429</v>
      </c>
      <c r="F767" t="s">
        <v>1219</v>
      </c>
      <c r="H767" t="s">
        <v>1669</v>
      </c>
      <c r="I767" t="s">
        <v>1670</v>
      </c>
      <c r="J767" t="s">
        <v>1674</v>
      </c>
      <c r="K767">
        <v>0</v>
      </c>
      <c r="L767">
        <v>2</v>
      </c>
      <c r="M767">
        <v>2</v>
      </c>
      <c r="N767">
        <v>2</v>
      </c>
      <c r="O767">
        <v>0</v>
      </c>
      <c r="P767">
        <v>2</v>
      </c>
      <c r="Q767">
        <f>N767-K767</f>
        <v>2</v>
      </c>
      <c r="R767">
        <f>O767-L767</f>
        <v>-2</v>
      </c>
      <c r="S767">
        <f>P767-M767</f>
        <v>0</v>
      </c>
      <c r="T767">
        <v>41</v>
      </c>
      <c r="U767" s="14">
        <v>31661.710000000003</v>
      </c>
      <c r="V767" s="14">
        <v>252</v>
      </c>
      <c r="W767" s="16">
        <v>1.0233342854959671E-4</v>
      </c>
      <c r="X767" s="16">
        <v>4.5637953391334586E-4</v>
      </c>
    </row>
    <row r="768" spans="1:24" x14ac:dyDescent="0.2">
      <c r="A768" t="s">
        <v>17</v>
      </c>
      <c r="B768" t="s">
        <v>24</v>
      </c>
      <c r="C768" t="s">
        <v>49</v>
      </c>
      <c r="D768" t="s">
        <v>178</v>
      </c>
      <c r="E768" t="s">
        <v>575</v>
      </c>
      <c r="F768" t="s">
        <v>1268</v>
      </c>
      <c r="H768" t="s">
        <v>1669</v>
      </c>
      <c r="I768" t="s">
        <v>1671</v>
      </c>
      <c r="J768" t="s">
        <v>1674</v>
      </c>
      <c r="K768">
        <v>0</v>
      </c>
      <c r="L768">
        <v>2</v>
      </c>
      <c r="M768">
        <v>2</v>
      </c>
      <c r="N768">
        <v>2</v>
      </c>
      <c r="O768">
        <v>0</v>
      </c>
      <c r="P768">
        <v>2</v>
      </c>
      <c r="Q768">
        <f>N768-K768</f>
        <v>2</v>
      </c>
      <c r="R768">
        <f>O768-L768</f>
        <v>-2</v>
      </c>
      <c r="S768">
        <f>P768-M768</f>
        <v>0</v>
      </c>
      <c r="T768">
        <v>88</v>
      </c>
      <c r="U768" s="14">
        <v>48778.89</v>
      </c>
      <c r="V768" s="14">
        <v>192</v>
      </c>
      <c r="W768" s="16">
        <v>1.5765765824219972E-4</v>
      </c>
      <c r="X768" s="16">
        <v>3.4771774012445396E-4</v>
      </c>
    </row>
    <row r="769" spans="1:24" x14ac:dyDescent="0.2">
      <c r="A769" t="s">
        <v>14</v>
      </c>
      <c r="B769" t="s">
        <v>19</v>
      </c>
      <c r="C769" t="s">
        <v>48</v>
      </c>
      <c r="D769" t="s">
        <v>132</v>
      </c>
      <c r="E769" t="s">
        <v>550</v>
      </c>
      <c r="F769" t="s">
        <v>550</v>
      </c>
      <c r="H769" t="s">
        <v>1669</v>
      </c>
      <c r="I769" t="s">
        <v>1670</v>
      </c>
      <c r="J769" t="s">
        <v>1674</v>
      </c>
      <c r="K769">
        <v>0</v>
      </c>
      <c r="L769">
        <v>3</v>
      </c>
      <c r="M769">
        <v>3</v>
      </c>
      <c r="N769">
        <v>3</v>
      </c>
      <c r="O769">
        <v>0</v>
      </c>
      <c r="P769">
        <v>3</v>
      </c>
      <c r="Q769">
        <f>N769-K769</f>
        <v>3</v>
      </c>
      <c r="R769">
        <f>O769-L769</f>
        <v>-3</v>
      </c>
      <c r="S769">
        <f>P769-M769</f>
        <v>0</v>
      </c>
      <c r="T769">
        <v>181</v>
      </c>
      <c r="U769" s="14">
        <v>450848.8299999999</v>
      </c>
      <c r="V769" s="14">
        <v>1638</v>
      </c>
      <c r="W769" s="16">
        <v>1.4571830305903965E-3</v>
      </c>
      <c r="X769" s="16">
        <v>2.966466970436748E-3</v>
      </c>
    </row>
    <row r="770" spans="1:24" x14ac:dyDescent="0.2">
      <c r="A770" t="s">
        <v>12</v>
      </c>
      <c r="B770" t="s">
        <v>18</v>
      </c>
      <c r="C770" t="s">
        <v>26</v>
      </c>
      <c r="D770" t="s">
        <v>63</v>
      </c>
      <c r="E770" t="s">
        <v>239</v>
      </c>
      <c r="F770" t="s">
        <v>239</v>
      </c>
      <c r="H770" t="s">
        <v>1669</v>
      </c>
      <c r="I770" t="s">
        <v>1670</v>
      </c>
      <c r="J770" t="s">
        <v>1674</v>
      </c>
      <c r="K770">
        <v>4</v>
      </c>
      <c r="L770">
        <v>0</v>
      </c>
      <c r="M770">
        <v>4</v>
      </c>
      <c r="N770">
        <v>3</v>
      </c>
      <c r="O770">
        <v>0</v>
      </c>
      <c r="P770">
        <v>3</v>
      </c>
      <c r="Q770">
        <f>N770-K770</f>
        <v>-1</v>
      </c>
      <c r="R770">
        <f>O770-L770</f>
        <v>0</v>
      </c>
      <c r="S770">
        <f>P770-M770</f>
        <v>-1</v>
      </c>
      <c r="T770">
        <v>0</v>
      </c>
      <c r="U770" s="14">
        <v>0</v>
      </c>
      <c r="V770" s="14">
        <v>0</v>
      </c>
      <c r="W770" s="16">
        <v>0</v>
      </c>
      <c r="X770" s="16">
        <v>0</v>
      </c>
    </row>
    <row r="771" spans="1:24" x14ac:dyDescent="0.2">
      <c r="A771" t="s">
        <v>13</v>
      </c>
      <c r="B771" t="s">
        <v>22</v>
      </c>
      <c r="C771" t="s">
        <v>46</v>
      </c>
      <c r="D771" t="s">
        <v>122</v>
      </c>
      <c r="E771" t="s">
        <v>366</v>
      </c>
      <c r="F771" t="s">
        <v>1392</v>
      </c>
      <c r="H771" t="s">
        <v>1670</v>
      </c>
      <c r="I771" t="s">
        <v>1672</v>
      </c>
      <c r="J771" t="s">
        <v>1674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f>N771-K771</f>
        <v>0</v>
      </c>
      <c r="R771">
        <f>O771-L771</f>
        <v>0</v>
      </c>
      <c r="S771">
        <f>P771-M771</f>
        <v>0</v>
      </c>
      <c r="T771">
        <v>2</v>
      </c>
      <c r="U771" s="14">
        <v>1054.8800000000001</v>
      </c>
      <c r="V771" s="14">
        <v>9</v>
      </c>
      <c r="W771" s="16">
        <v>3.4094648428148252E-6</v>
      </c>
      <c r="X771" s="16">
        <v>1.629926906833378E-5</v>
      </c>
    </row>
    <row r="772" spans="1:24" x14ac:dyDescent="0.2">
      <c r="A772" t="s">
        <v>13</v>
      </c>
      <c r="B772" t="s">
        <v>22</v>
      </c>
      <c r="C772" t="s">
        <v>46</v>
      </c>
      <c r="D772" t="s">
        <v>168</v>
      </c>
      <c r="E772" t="s">
        <v>463</v>
      </c>
      <c r="F772" t="s">
        <v>1398</v>
      </c>
      <c r="H772" t="s">
        <v>1670</v>
      </c>
      <c r="I772" t="s">
        <v>1672</v>
      </c>
      <c r="J772" t="s">
        <v>1674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f>N772-K772</f>
        <v>0</v>
      </c>
      <c r="R772">
        <f>O772-L772</f>
        <v>0</v>
      </c>
      <c r="S772">
        <f>P772-M772</f>
        <v>0</v>
      </c>
      <c r="T772">
        <v>3</v>
      </c>
      <c r="U772" s="14">
        <v>1040.04</v>
      </c>
      <c r="V772" s="14">
        <v>4</v>
      </c>
      <c r="W772" s="16">
        <v>3.3615006589575407E-6</v>
      </c>
      <c r="X772" s="16">
        <v>7.2441195859261247E-6</v>
      </c>
    </row>
    <row r="773" spans="1:24" x14ac:dyDescent="0.2">
      <c r="A773" t="s">
        <v>13</v>
      </c>
      <c r="B773" t="s">
        <v>22</v>
      </c>
      <c r="C773" t="s">
        <v>40</v>
      </c>
      <c r="D773" t="s">
        <v>220</v>
      </c>
      <c r="E773" t="s">
        <v>220</v>
      </c>
      <c r="F773" t="s">
        <v>1478</v>
      </c>
      <c r="H773" t="s">
        <v>1670</v>
      </c>
      <c r="I773" t="s">
        <v>1670</v>
      </c>
      <c r="J773" t="s">
        <v>1673</v>
      </c>
      <c r="K773">
        <v>0</v>
      </c>
      <c r="L773">
        <v>0</v>
      </c>
      <c r="M773">
        <v>0</v>
      </c>
      <c r="N773">
        <v>2</v>
      </c>
      <c r="O773">
        <v>0</v>
      </c>
      <c r="P773">
        <v>2</v>
      </c>
      <c r="Q773">
        <f>N773-K773</f>
        <v>2</v>
      </c>
      <c r="R773">
        <f>O773-L773</f>
        <v>0</v>
      </c>
      <c r="S773">
        <f>P773-M773</f>
        <v>2</v>
      </c>
      <c r="T773">
        <v>3</v>
      </c>
      <c r="U773" s="14">
        <v>967</v>
      </c>
      <c r="V773" s="14">
        <v>14</v>
      </c>
      <c r="W773" s="16">
        <v>3.1254289615898827E-6</v>
      </c>
      <c r="X773" s="16">
        <v>2.5354418550741437E-5</v>
      </c>
    </row>
    <row r="774" spans="1:24" x14ac:dyDescent="0.2">
      <c r="A774" t="s">
        <v>16</v>
      </c>
      <c r="B774" t="s">
        <v>22</v>
      </c>
      <c r="C774" t="s">
        <v>39</v>
      </c>
      <c r="D774" t="s">
        <v>160</v>
      </c>
      <c r="E774" t="s">
        <v>451</v>
      </c>
      <c r="F774" t="s">
        <v>1364</v>
      </c>
      <c r="H774" t="s">
        <v>1670</v>
      </c>
      <c r="I774" t="s">
        <v>1670</v>
      </c>
      <c r="J774" t="s">
        <v>1674</v>
      </c>
      <c r="K774">
        <v>0</v>
      </c>
      <c r="L774">
        <v>0</v>
      </c>
      <c r="M774">
        <v>0</v>
      </c>
      <c r="N774">
        <v>2</v>
      </c>
      <c r="O774">
        <v>0</v>
      </c>
      <c r="P774">
        <v>2</v>
      </c>
      <c r="Q774">
        <f>N774-K774</f>
        <v>2</v>
      </c>
      <c r="R774">
        <f>O774-L774</f>
        <v>0</v>
      </c>
      <c r="S774">
        <f>P774-M774</f>
        <v>2</v>
      </c>
      <c r="T774">
        <v>1</v>
      </c>
      <c r="U774" s="14">
        <v>914.83</v>
      </c>
      <c r="V774" s="14">
        <v>8</v>
      </c>
      <c r="W774" s="16">
        <v>2.9568109378813577E-6</v>
      </c>
      <c r="X774" s="16">
        <v>1.4488239171852249E-5</v>
      </c>
    </row>
    <row r="775" spans="1:24" x14ac:dyDescent="0.2">
      <c r="A775" t="s">
        <v>14</v>
      </c>
      <c r="B775" s="35" t="s">
        <v>19</v>
      </c>
      <c r="C775" t="s">
        <v>27</v>
      </c>
      <c r="D775" t="s">
        <v>69</v>
      </c>
      <c r="E775" t="s">
        <v>255</v>
      </c>
      <c r="F775" t="s">
        <v>1379</v>
      </c>
      <c r="H775" t="s">
        <v>1670</v>
      </c>
      <c r="I775" t="s">
        <v>1670</v>
      </c>
      <c r="J775" t="s">
        <v>1674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f>N775-K775</f>
        <v>0</v>
      </c>
      <c r="R775">
        <f>O775-L775</f>
        <v>0</v>
      </c>
      <c r="S775">
        <f>P775-M775</f>
        <v>0</v>
      </c>
      <c r="T775">
        <v>3</v>
      </c>
      <c r="U775" s="14">
        <v>764.23</v>
      </c>
      <c r="V775" s="14">
        <v>6</v>
      </c>
      <c r="W775" s="16">
        <v>2.4700585060143084E-6</v>
      </c>
      <c r="X775" s="16">
        <v>1.0866179378889186E-5</v>
      </c>
    </row>
    <row r="776" spans="1:24" x14ac:dyDescent="0.2">
      <c r="A776" t="s">
        <v>12</v>
      </c>
      <c r="B776" s="35" t="s">
        <v>19</v>
      </c>
      <c r="C776" t="s">
        <v>28</v>
      </c>
      <c r="D776" t="s">
        <v>72</v>
      </c>
      <c r="E776" t="s">
        <v>262</v>
      </c>
      <c r="F776" t="s">
        <v>713</v>
      </c>
      <c r="H776" t="s">
        <v>1669</v>
      </c>
      <c r="I776" t="s">
        <v>1670</v>
      </c>
      <c r="J776" t="s">
        <v>1674</v>
      </c>
      <c r="K776">
        <v>1</v>
      </c>
      <c r="L776">
        <v>0</v>
      </c>
      <c r="M776">
        <v>1</v>
      </c>
      <c r="N776">
        <v>1</v>
      </c>
      <c r="O776">
        <v>0</v>
      </c>
      <c r="P776">
        <v>1</v>
      </c>
      <c r="Q776">
        <f>N776-K776</f>
        <v>0</v>
      </c>
      <c r="R776">
        <f>O776-L776</f>
        <v>0</v>
      </c>
      <c r="S776">
        <f>P776-M776</f>
        <v>0</v>
      </c>
      <c r="T776">
        <v>38</v>
      </c>
      <c r="U776" s="14">
        <v>111601.07000000002</v>
      </c>
      <c r="V776" s="14">
        <v>319</v>
      </c>
      <c r="W776" s="16">
        <v>3.6070446362194405E-4</v>
      </c>
      <c r="X776" s="16">
        <v>5.7771853697760839E-4</v>
      </c>
    </row>
    <row r="777" spans="1:24" x14ac:dyDescent="0.2">
      <c r="A777" t="s">
        <v>12</v>
      </c>
      <c r="B777" t="s">
        <v>18</v>
      </c>
      <c r="C777" t="s">
        <v>29</v>
      </c>
      <c r="D777" t="s">
        <v>80</v>
      </c>
      <c r="E777" t="s">
        <v>279</v>
      </c>
      <c r="F777" t="s">
        <v>726</v>
      </c>
      <c r="H777" t="s">
        <v>1669</v>
      </c>
      <c r="I777" t="s">
        <v>1670</v>
      </c>
      <c r="J777" t="s">
        <v>1674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0</v>
      </c>
      <c r="Q777">
        <f>N777-K777</f>
        <v>-1</v>
      </c>
      <c r="R777">
        <f>O777-L777</f>
        <v>0</v>
      </c>
      <c r="S777">
        <f>P777-M777</f>
        <v>-1</v>
      </c>
      <c r="T777">
        <v>5</v>
      </c>
      <c r="U777" s="14">
        <v>11323.75</v>
      </c>
      <c r="V777" s="14">
        <v>10</v>
      </c>
      <c r="W777" s="16">
        <v>3.659935491603251E-5</v>
      </c>
      <c r="X777" s="16">
        <v>1.8110298964815311E-5</v>
      </c>
    </row>
    <row r="778" spans="1:24" x14ac:dyDescent="0.2">
      <c r="A778" t="s">
        <v>12</v>
      </c>
      <c r="B778" t="s">
        <v>20</v>
      </c>
      <c r="C778" t="s">
        <v>31</v>
      </c>
      <c r="D778" t="s">
        <v>82</v>
      </c>
      <c r="E778" t="s">
        <v>283</v>
      </c>
      <c r="F778" t="s">
        <v>733</v>
      </c>
      <c r="H778" t="s">
        <v>1669</v>
      </c>
      <c r="I778" t="s">
        <v>1670</v>
      </c>
      <c r="J778" t="s">
        <v>1674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f>N778-K778</f>
        <v>-1</v>
      </c>
      <c r="R778">
        <f>O778-L778</f>
        <v>0</v>
      </c>
      <c r="S778">
        <f>P778-M778</f>
        <v>-1</v>
      </c>
      <c r="T778">
        <v>0</v>
      </c>
      <c r="U778" s="14">
        <v>0</v>
      </c>
      <c r="V778" s="14">
        <v>0</v>
      </c>
      <c r="W778" s="16">
        <v>0</v>
      </c>
      <c r="X778" s="16">
        <v>0</v>
      </c>
    </row>
    <row r="779" spans="1:24" x14ac:dyDescent="0.2">
      <c r="A779" t="s">
        <v>12</v>
      </c>
      <c r="B779" t="s">
        <v>18</v>
      </c>
      <c r="C779" t="s">
        <v>32</v>
      </c>
      <c r="D779" t="s">
        <v>83</v>
      </c>
      <c r="E779" t="s">
        <v>285</v>
      </c>
      <c r="F779" t="s">
        <v>738</v>
      </c>
      <c r="H779" t="s">
        <v>1669</v>
      </c>
      <c r="I779" t="s">
        <v>1670</v>
      </c>
      <c r="J779" t="s">
        <v>1674</v>
      </c>
      <c r="K779">
        <v>4</v>
      </c>
      <c r="L779">
        <v>1</v>
      </c>
      <c r="M779">
        <v>5</v>
      </c>
      <c r="N779">
        <v>3</v>
      </c>
      <c r="O779">
        <v>1</v>
      </c>
      <c r="P779">
        <v>4</v>
      </c>
      <c r="Q779">
        <f>N779-K779</f>
        <v>-1</v>
      </c>
      <c r="R779">
        <f>O779-L779</f>
        <v>0</v>
      </c>
      <c r="S779">
        <f>P779-M779</f>
        <v>-1</v>
      </c>
      <c r="T779">
        <v>25</v>
      </c>
      <c r="U779" s="14">
        <v>937563.11</v>
      </c>
      <c r="V779" s="14">
        <v>913</v>
      </c>
      <c r="W779" s="16">
        <v>3.0302863467552028E-3</v>
      </c>
      <c r="X779" s="16">
        <v>1.6534702954876378E-3</v>
      </c>
    </row>
    <row r="780" spans="1:24" x14ac:dyDescent="0.2">
      <c r="A780" t="s">
        <v>12</v>
      </c>
      <c r="B780" s="35" t="s">
        <v>19</v>
      </c>
      <c r="C780" t="s">
        <v>27</v>
      </c>
      <c r="D780" t="s">
        <v>67</v>
      </c>
      <c r="E780" t="s">
        <v>251</v>
      </c>
      <c r="F780" t="s">
        <v>698</v>
      </c>
      <c r="H780" t="s">
        <v>1670</v>
      </c>
      <c r="I780" t="s">
        <v>1670</v>
      </c>
      <c r="J780" t="s">
        <v>1674</v>
      </c>
      <c r="K780">
        <v>1</v>
      </c>
      <c r="L780">
        <v>0</v>
      </c>
      <c r="M780">
        <v>1</v>
      </c>
      <c r="N780">
        <v>1</v>
      </c>
      <c r="O780">
        <v>0</v>
      </c>
      <c r="P780">
        <v>1</v>
      </c>
      <c r="Q780">
        <f>N780-K780</f>
        <v>0</v>
      </c>
      <c r="R780">
        <f>O780-L780</f>
        <v>0</v>
      </c>
      <c r="S780">
        <f>P780-M780</f>
        <v>0</v>
      </c>
      <c r="T780">
        <v>2</v>
      </c>
      <c r="U780" s="14">
        <v>762.77</v>
      </c>
      <c r="V780" s="14">
        <v>9</v>
      </c>
      <c r="W780" s="16">
        <v>2.465339657737244E-6</v>
      </c>
      <c r="X780" s="16">
        <v>1.629926906833378E-5</v>
      </c>
    </row>
    <row r="781" spans="1:24" x14ac:dyDescent="0.2">
      <c r="A781" t="s">
        <v>13</v>
      </c>
      <c r="B781" t="s">
        <v>20</v>
      </c>
      <c r="C781" t="s">
        <v>33</v>
      </c>
      <c r="D781" t="s">
        <v>87</v>
      </c>
      <c r="E781" t="s">
        <v>298</v>
      </c>
      <c r="F781" t="s">
        <v>772</v>
      </c>
      <c r="H781" t="s">
        <v>1669</v>
      </c>
      <c r="I781" t="s">
        <v>1670</v>
      </c>
      <c r="J781" t="s">
        <v>1674</v>
      </c>
      <c r="K781">
        <v>2</v>
      </c>
      <c r="L781">
        <v>0</v>
      </c>
      <c r="M781">
        <v>2</v>
      </c>
      <c r="N781">
        <v>1</v>
      </c>
      <c r="O781">
        <v>0</v>
      </c>
      <c r="P781">
        <v>1</v>
      </c>
      <c r="Q781">
        <f>N781-K781</f>
        <v>-1</v>
      </c>
      <c r="R781">
        <f>O781-L781</f>
        <v>0</v>
      </c>
      <c r="S781">
        <f>P781-M781</f>
        <v>-1</v>
      </c>
      <c r="T781">
        <v>0</v>
      </c>
      <c r="U781" s="14">
        <v>0</v>
      </c>
      <c r="V781" s="14">
        <v>0</v>
      </c>
      <c r="W781" s="16">
        <v>0</v>
      </c>
      <c r="X781" s="16">
        <v>0</v>
      </c>
    </row>
    <row r="782" spans="1:24" x14ac:dyDescent="0.2">
      <c r="A782" t="s">
        <v>13</v>
      </c>
      <c r="B782" t="s">
        <v>20</v>
      </c>
      <c r="C782" t="s">
        <v>33</v>
      </c>
      <c r="D782" t="s">
        <v>87</v>
      </c>
      <c r="E782" t="s">
        <v>298</v>
      </c>
      <c r="F782" t="s">
        <v>774</v>
      </c>
      <c r="H782" t="s">
        <v>1669</v>
      </c>
      <c r="I782" t="s">
        <v>1670</v>
      </c>
      <c r="J782" t="s">
        <v>1674</v>
      </c>
      <c r="K782">
        <v>6</v>
      </c>
      <c r="L782">
        <v>0</v>
      </c>
      <c r="M782">
        <v>6</v>
      </c>
      <c r="N782">
        <v>5</v>
      </c>
      <c r="O782">
        <v>0</v>
      </c>
      <c r="P782">
        <v>5</v>
      </c>
      <c r="Q782">
        <f>N782-K782</f>
        <v>-1</v>
      </c>
      <c r="R782">
        <f>O782-L782</f>
        <v>0</v>
      </c>
      <c r="S782">
        <f>P782-M782</f>
        <v>-1</v>
      </c>
      <c r="T782">
        <v>15</v>
      </c>
      <c r="U782" s="14">
        <v>226432.06999999998</v>
      </c>
      <c r="V782" s="14">
        <v>96</v>
      </c>
      <c r="W782" s="16">
        <v>7.3184834478877729E-4</v>
      </c>
      <c r="X782" s="16">
        <v>1.7385887006222698E-4</v>
      </c>
    </row>
    <row r="783" spans="1:24" x14ac:dyDescent="0.2">
      <c r="A783" t="s">
        <v>13</v>
      </c>
      <c r="B783" t="s">
        <v>20</v>
      </c>
      <c r="C783" t="s">
        <v>33</v>
      </c>
      <c r="D783" t="s">
        <v>87</v>
      </c>
      <c r="E783" t="s">
        <v>298</v>
      </c>
      <c r="F783" t="s">
        <v>778</v>
      </c>
      <c r="H783" t="s">
        <v>1669</v>
      </c>
      <c r="I783" t="s">
        <v>1670</v>
      </c>
      <c r="J783" t="s">
        <v>1674</v>
      </c>
      <c r="K783">
        <v>2</v>
      </c>
      <c r="L783">
        <v>0</v>
      </c>
      <c r="M783">
        <v>2</v>
      </c>
      <c r="N783">
        <v>1</v>
      </c>
      <c r="O783">
        <v>0</v>
      </c>
      <c r="P783">
        <v>1</v>
      </c>
      <c r="Q783">
        <f>N783-K783</f>
        <v>-1</v>
      </c>
      <c r="R783">
        <f>O783-L783</f>
        <v>0</v>
      </c>
      <c r="S783">
        <f>P783-M783</f>
        <v>-1</v>
      </c>
      <c r="T783">
        <v>0</v>
      </c>
      <c r="U783" s="14">
        <v>0</v>
      </c>
      <c r="V783" s="14">
        <v>0</v>
      </c>
      <c r="W783" s="16">
        <v>0</v>
      </c>
      <c r="X783" s="16">
        <v>0</v>
      </c>
    </row>
    <row r="784" spans="1:24" x14ac:dyDescent="0.2">
      <c r="A784" t="s">
        <v>13</v>
      </c>
      <c r="B784" t="s">
        <v>20</v>
      </c>
      <c r="C784" t="s">
        <v>33</v>
      </c>
      <c r="D784" t="s">
        <v>87</v>
      </c>
      <c r="E784" t="s">
        <v>298</v>
      </c>
      <c r="F784" t="s">
        <v>782</v>
      </c>
      <c r="H784" t="s">
        <v>1669</v>
      </c>
      <c r="I784" t="s">
        <v>1670</v>
      </c>
      <c r="J784" t="s">
        <v>1674</v>
      </c>
      <c r="K784">
        <v>7</v>
      </c>
      <c r="L784">
        <v>1</v>
      </c>
      <c r="M784">
        <v>8</v>
      </c>
      <c r="N784">
        <v>6</v>
      </c>
      <c r="O784">
        <v>1</v>
      </c>
      <c r="P784">
        <v>7</v>
      </c>
      <c r="Q784">
        <f>N784-K784</f>
        <v>-1</v>
      </c>
      <c r="R784">
        <f>O784-L784</f>
        <v>0</v>
      </c>
      <c r="S784">
        <f>P784-M784</f>
        <v>-1</v>
      </c>
      <c r="T784">
        <v>59</v>
      </c>
      <c r="U784" s="14">
        <v>622966.5199999999</v>
      </c>
      <c r="V784" s="14">
        <v>313</v>
      </c>
      <c r="W784" s="16">
        <v>2.0134825271032708E-3</v>
      </c>
      <c r="X784" s="16">
        <v>5.6685235759871926E-4</v>
      </c>
    </row>
    <row r="785" spans="1:24" x14ac:dyDescent="0.2">
      <c r="A785" t="s">
        <v>13</v>
      </c>
      <c r="B785" t="s">
        <v>20</v>
      </c>
      <c r="C785" t="s">
        <v>33</v>
      </c>
      <c r="D785" t="s">
        <v>88</v>
      </c>
      <c r="E785" t="s">
        <v>300</v>
      </c>
      <c r="F785" t="s">
        <v>788</v>
      </c>
      <c r="H785" t="s">
        <v>1669</v>
      </c>
      <c r="I785" t="s">
        <v>1670</v>
      </c>
      <c r="J785" t="s">
        <v>1674</v>
      </c>
      <c r="K785">
        <v>6</v>
      </c>
      <c r="L785">
        <v>0</v>
      </c>
      <c r="M785">
        <v>6</v>
      </c>
      <c r="N785">
        <v>5</v>
      </c>
      <c r="O785">
        <v>0</v>
      </c>
      <c r="P785">
        <v>5</v>
      </c>
      <c r="Q785">
        <f>N785-K785</f>
        <v>-1</v>
      </c>
      <c r="R785">
        <f>O785-L785</f>
        <v>0</v>
      </c>
      <c r="S785">
        <f>P785-M785</f>
        <v>-1</v>
      </c>
      <c r="T785">
        <v>1</v>
      </c>
      <c r="U785" s="14">
        <v>6905.84</v>
      </c>
      <c r="V785" s="14">
        <v>8</v>
      </c>
      <c r="W785" s="16">
        <v>2.2320281634028828E-5</v>
      </c>
      <c r="X785" s="16">
        <v>1.4488239171852249E-5</v>
      </c>
    </row>
    <row r="786" spans="1:24" x14ac:dyDescent="0.2">
      <c r="A786" t="s">
        <v>13</v>
      </c>
      <c r="B786" t="s">
        <v>20</v>
      </c>
      <c r="C786" t="s">
        <v>33</v>
      </c>
      <c r="D786" t="s">
        <v>88</v>
      </c>
      <c r="E786" t="s">
        <v>300</v>
      </c>
      <c r="F786" t="s">
        <v>789</v>
      </c>
      <c r="H786" t="s">
        <v>1669</v>
      </c>
      <c r="I786" t="s">
        <v>1670</v>
      </c>
      <c r="J786" t="s">
        <v>1674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f>N786-K786</f>
        <v>-1</v>
      </c>
      <c r="R786">
        <f>O786-L786</f>
        <v>0</v>
      </c>
      <c r="S786">
        <f>P786-M786</f>
        <v>-1</v>
      </c>
      <c r="T786">
        <v>3</v>
      </c>
      <c r="U786" s="14">
        <v>47779.990000000005</v>
      </c>
      <c r="V786" s="14">
        <v>3</v>
      </c>
      <c r="W786" s="16">
        <v>1.5442912567784385E-4</v>
      </c>
      <c r="X786" s="16">
        <v>5.4330896894445931E-6</v>
      </c>
    </row>
    <row r="787" spans="1:24" x14ac:dyDescent="0.2">
      <c r="A787" t="s">
        <v>13</v>
      </c>
      <c r="B787" t="s">
        <v>20</v>
      </c>
      <c r="C787" t="s">
        <v>33</v>
      </c>
      <c r="D787" t="s">
        <v>88</v>
      </c>
      <c r="E787" t="s">
        <v>301</v>
      </c>
      <c r="F787" t="s">
        <v>791</v>
      </c>
      <c r="H787" t="s">
        <v>1669</v>
      </c>
      <c r="I787" t="s">
        <v>1670</v>
      </c>
      <c r="J787" t="s">
        <v>1674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f>N787-K787</f>
        <v>-1</v>
      </c>
      <c r="R787">
        <f>O787-L787</f>
        <v>0</v>
      </c>
      <c r="S787">
        <f>P787-M787</f>
        <v>-1</v>
      </c>
      <c r="T787">
        <v>0</v>
      </c>
      <c r="U787" s="14">
        <v>0</v>
      </c>
      <c r="V787" s="14">
        <v>0</v>
      </c>
      <c r="W787" s="16">
        <v>0</v>
      </c>
      <c r="X787" s="16">
        <v>0</v>
      </c>
    </row>
    <row r="788" spans="1:24" x14ac:dyDescent="0.2">
      <c r="A788" t="s">
        <v>13</v>
      </c>
      <c r="B788" t="s">
        <v>20</v>
      </c>
      <c r="C788" t="s">
        <v>33</v>
      </c>
      <c r="D788" t="s">
        <v>88</v>
      </c>
      <c r="E788" t="s">
        <v>302</v>
      </c>
      <c r="F788" t="s">
        <v>793</v>
      </c>
      <c r="H788" t="s">
        <v>1669</v>
      </c>
      <c r="I788" t="s">
        <v>1671</v>
      </c>
      <c r="J788" t="s">
        <v>1674</v>
      </c>
      <c r="K788">
        <v>1</v>
      </c>
      <c r="L788">
        <v>0</v>
      </c>
      <c r="M788">
        <v>1</v>
      </c>
      <c r="N788">
        <v>0</v>
      </c>
      <c r="O788">
        <v>0</v>
      </c>
      <c r="P788">
        <v>0</v>
      </c>
      <c r="Q788">
        <f>N788-K788</f>
        <v>-1</v>
      </c>
      <c r="R788">
        <f>O788-L788</f>
        <v>0</v>
      </c>
      <c r="S788">
        <f>P788-M788</f>
        <v>-1</v>
      </c>
      <c r="T788">
        <v>0</v>
      </c>
      <c r="U788" s="14">
        <v>0</v>
      </c>
      <c r="V788" s="14">
        <v>0</v>
      </c>
      <c r="W788" s="16">
        <v>0</v>
      </c>
      <c r="X788" s="16">
        <v>0</v>
      </c>
    </row>
    <row r="789" spans="1:24" x14ac:dyDescent="0.2">
      <c r="A789" t="s">
        <v>13</v>
      </c>
      <c r="B789" t="s">
        <v>20</v>
      </c>
      <c r="C789" t="s">
        <v>33</v>
      </c>
      <c r="D789" t="s">
        <v>88</v>
      </c>
      <c r="E789" t="s">
        <v>303</v>
      </c>
      <c r="F789" t="s">
        <v>794</v>
      </c>
      <c r="H789" t="s">
        <v>1669</v>
      </c>
      <c r="I789" t="s">
        <v>1671</v>
      </c>
      <c r="J789" t="s">
        <v>1674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0</v>
      </c>
      <c r="Q789">
        <f>N789-K789</f>
        <v>-1</v>
      </c>
      <c r="R789">
        <f>O789-L789</f>
        <v>0</v>
      </c>
      <c r="S789">
        <f>P789-M789</f>
        <v>-1</v>
      </c>
      <c r="T789">
        <v>0</v>
      </c>
      <c r="U789" s="14">
        <v>0</v>
      </c>
      <c r="V789" s="14">
        <v>0</v>
      </c>
      <c r="W789" s="16">
        <v>0</v>
      </c>
      <c r="X789" s="16">
        <v>0</v>
      </c>
    </row>
    <row r="790" spans="1:24" x14ac:dyDescent="0.2">
      <c r="A790" t="s">
        <v>13</v>
      </c>
      <c r="B790" t="s">
        <v>20</v>
      </c>
      <c r="C790" t="s">
        <v>33</v>
      </c>
      <c r="D790" t="s">
        <v>88</v>
      </c>
      <c r="E790" t="s">
        <v>303</v>
      </c>
      <c r="F790" t="s">
        <v>796</v>
      </c>
      <c r="H790" t="s">
        <v>1669</v>
      </c>
      <c r="I790" t="s">
        <v>1671</v>
      </c>
      <c r="J790" t="s">
        <v>1674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0</v>
      </c>
      <c r="Q790">
        <f>N790-K790</f>
        <v>-1</v>
      </c>
      <c r="R790">
        <f>O790-L790</f>
        <v>0</v>
      </c>
      <c r="S790">
        <f>P790-M790</f>
        <v>-1</v>
      </c>
      <c r="T790">
        <v>2</v>
      </c>
      <c r="U790" s="14">
        <v>3571.9300000000003</v>
      </c>
      <c r="V790" s="14">
        <v>12</v>
      </c>
      <c r="W790" s="16">
        <v>1.154479159335238E-5</v>
      </c>
      <c r="X790" s="16">
        <v>2.1732358757778372E-5</v>
      </c>
    </row>
    <row r="791" spans="1:24" x14ac:dyDescent="0.2">
      <c r="A791" t="s">
        <v>13</v>
      </c>
      <c r="B791" t="s">
        <v>20</v>
      </c>
      <c r="C791" t="s">
        <v>33</v>
      </c>
      <c r="D791" t="s">
        <v>84</v>
      </c>
      <c r="E791" t="s">
        <v>289</v>
      </c>
      <c r="F791" t="s">
        <v>797</v>
      </c>
      <c r="H791" t="s">
        <v>1669</v>
      </c>
      <c r="I791" t="s">
        <v>1670</v>
      </c>
      <c r="J791" t="s">
        <v>1674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0</v>
      </c>
      <c r="Q791">
        <f>N791-K791</f>
        <v>-1</v>
      </c>
      <c r="R791">
        <f>O791-L791</f>
        <v>0</v>
      </c>
      <c r="S791">
        <f>P791-M791</f>
        <v>-1</v>
      </c>
      <c r="T791">
        <v>0</v>
      </c>
      <c r="U791" s="14">
        <v>0</v>
      </c>
      <c r="V791" s="14">
        <v>0</v>
      </c>
      <c r="W791" s="16">
        <v>0</v>
      </c>
      <c r="X791" s="16">
        <v>0</v>
      </c>
    </row>
    <row r="792" spans="1:24" x14ac:dyDescent="0.2">
      <c r="A792" t="s">
        <v>13</v>
      </c>
      <c r="B792" t="s">
        <v>22</v>
      </c>
      <c r="C792" t="s">
        <v>36</v>
      </c>
      <c r="D792" t="s">
        <v>91</v>
      </c>
      <c r="E792" t="s">
        <v>313</v>
      </c>
      <c r="F792" t="s">
        <v>808</v>
      </c>
      <c r="H792" t="s">
        <v>1669</v>
      </c>
      <c r="I792" t="s">
        <v>1670</v>
      </c>
      <c r="J792" t="s">
        <v>1674</v>
      </c>
      <c r="K792">
        <v>1</v>
      </c>
      <c r="L792">
        <v>0</v>
      </c>
      <c r="M792">
        <v>1</v>
      </c>
      <c r="N792">
        <v>0</v>
      </c>
      <c r="O792">
        <v>0</v>
      </c>
      <c r="P792">
        <v>0</v>
      </c>
      <c r="Q792">
        <f>N792-K792</f>
        <v>-1</v>
      </c>
      <c r="R792">
        <f>O792-L792</f>
        <v>0</v>
      </c>
      <c r="S792">
        <f>P792-M792</f>
        <v>-1</v>
      </c>
      <c r="T792">
        <v>3</v>
      </c>
      <c r="U792" s="14">
        <v>8306.86</v>
      </c>
      <c r="V792" s="14">
        <v>36</v>
      </c>
      <c r="W792" s="16">
        <v>2.6848501369051227E-5</v>
      </c>
      <c r="X792" s="16">
        <v>6.519707627333512E-5</v>
      </c>
    </row>
    <row r="793" spans="1:24" x14ac:dyDescent="0.2">
      <c r="A793" t="s">
        <v>13</v>
      </c>
      <c r="B793" t="s">
        <v>20</v>
      </c>
      <c r="C793" t="s">
        <v>31</v>
      </c>
      <c r="D793" t="s">
        <v>82</v>
      </c>
      <c r="E793" t="s">
        <v>283</v>
      </c>
      <c r="F793" t="s">
        <v>813</v>
      </c>
      <c r="H793" t="s">
        <v>1669</v>
      </c>
      <c r="I793" t="s">
        <v>1670</v>
      </c>
      <c r="J793" t="s">
        <v>1674</v>
      </c>
      <c r="K793">
        <v>4</v>
      </c>
      <c r="L793">
        <v>2</v>
      </c>
      <c r="M793">
        <v>6</v>
      </c>
      <c r="N793">
        <v>3</v>
      </c>
      <c r="O793">
        <v>2</v>
      </c>
      <c r="P793">
        <v>5</v>
      </c>
      <c r="Q793">
        <f>N793-K793</f>
        <v>-1</v>
      </c>
      <c r="R793">
        <f>O793-L793</f>
        <v>0</v>
      </c>
      <c r="S793">
        <f>P793-M793</f>
        <v>-1</v>
      </c>
      <c r="T793">
        <v>1</v>
      </c>
      <c r="U793" s="14">
        <v>1186</v>
      </c>
      <c r="V793" s="14">
        <v>10</v>
      </c>
      <c r="W793" s="16">
        <v>3.8332562031495359E-6</v>
      </c>
      <c r="X793" s="16">
        <v>1.8110298964815311E-5</v>
      </c>
    </row>
    <row r="794" spans="1:24" x14ac:dyDescent="0.2">
      <c r="A794" t="s">
        <v>13</v>
      </c>
      <c r="B794" t="s">
        <v>20</v>
      </c>
      <c r="C794" t="s">
        <v>31</v>
      </c>
      <c r="D794" t="s">
        <v>93</v>
      </c>
      <c r="E794" t="s">
        <v>320</v>
      </c>
      <c r="F794" t="s">
        <v>829</v>
      </c>
      <c r="H794" t="s">
        <v>1669</v>
      </c>
      <c r="I794" t="s">
        <v>1670</v>
      </c>
      <c r="J794" t="s">
        <v>1674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f>N794-K794</f>
        <v>-1</v>
      </c>
      <c r="R794">
        <f>O794-L794</f>
        <v>0</v>
      </c>
      <c r="S794">
        <f>P794-M794</f>
        <v>-1</v>
      </c>
      <c r="T794">
        <v>3</v>
      </c>
      <c r="U794" s="14">
        <v>439</v>
      </c>
      <c r="V794" s="14">
        <v>4</v>
      </c>
      <c r="W794" s="16">
        <v>1.4188865709803088E-6</v>
      </c>
      <c r="X794" s="16">
        <v>7.2441195859261247E-6</v>
      </c>
    </row>
    <row r="795" spans="1:24" x14ac:dyDescent="0.2">
      <c r="A795" t="s">
        <v>16</v>
      </c>
      <c r="B795" t="s">
        <v>22</v>
      </c>
      <c r="C795" t="s">
        <v>46</v>
      </c>
      <c r="D795" t="s">
        <v>211</v>
      </c>
      <c r="E795" t="s">
        <v>634</v>
      </c>
      <c r="F795" t="s">
        <v>1457</v>
      </c>
      <c r="H795" t="s">
        <v>1670</v>
      </c>
      <c r="I795" t="s">
        <v>1672</v>
      </c>
      <c r="J795" t="s">
        <v>1674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f>N795-K795</f>
        <v>0</v>
      </c>
      <c r="R795">
        <f>O795-L795</f>
        <v>0</v>
      </c>
      <c r="S795">
        <f>P795-M795</f>
        <v>0</v>
      </c>
      <c r="T795">
        <v>1</v>
      </c>
      <c r="U795" s="14">
        <v>736</v>
      </c>
      <c r="V795" s="14">
        <v>6</v>
      </c>
      <c r="W795" s="16">
        <v>2.3788166656981942E-6</v>
      </c>
      <c r="X795" s="16">
        <v>1.0866179378889186E-5</v>
      </c>
    </row>
    <row r="796" spans="1:24" x14ac:dyDescent="0.2">
      <c r="A796" t="s">
        <v>13</v>
      </c>
      <c r="B796" t="s">
        <v>20</v>
      </c>
      <c r="C796" t="s">
        <v>38</v>
      </c>
      <c r="D796" t="s">
        <v>104</v>
      </c>
      <c r="E796" t="s">
        <v>339</v>
      </c>
      <c r="F796" t="s">
        <v>846</v>
      </c>
      <c r="H796" t="s">
        <v>1669</v>
      </c>
      <c r="I796" t="s">
        <v>1670</v>
      </c>
      <c r="J796" t="s">
        <v>1674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0</v>
      </c>
      <c r="Q796">
        <f>N796-K796</f>
        <v>-1</v>
      </c>
      <c r="R796">
        <f>O796-L796</f>
        <v>0</v>
      </c>
      <c r="S796">
        <f>P796-M796</f>
        <v>-1</v>
      </c>
      <c r="T796">
        <v>1</v>
      </c>
      <c r="U796" s="14">
        <v>179</v>
      </c>
      <c r="V796" s="14">
        <v>1</v>
      </c>
      <c r="W796" s="16">
        <v>5.7854372711953367E-7</v>
      </c>
      <c r="X796" s="16">
        <v>1.8110298964815312E-6</v>
      </c>
    </row>
    <row r="797" spans="1:24" x14ac:dyDescent="0.2">
      <c r="A797" t="s">
        <v>16</v>
      </c>
      <c r="B797" t="s">
        <v>22</v>
      </c>
      <c r="C797" t="s">
        <v>39</v>
      </c>
      <c r="D797" t="s">
        <v>160</v>
      </c>
      <c r="E797" t="s">
        <v>451</v>
      </c>
      <c r="F797" t="s">
        <v>1026</v>
      </c>
      <c r="H797" t="s">
        <v>1670</v>
      </c>
      <c r="I797" t="s">
        <v>1670</v>
      </c>
      <c r="J797" t="s">
        <v>1674</v>
      </c>
      <c r="K797">
        <v>2</v>
      </c>
      <c r="L797">
        <v>0</v>
      </c>
      <c r="M797">
        <v>2</v>
      </c>
      <c r="N797">
        <v>2</v>
      </c>
      <c r="O797">
        <v>0</v>
      </c>
      <c r="P797">
        <v>2</v>
      </c>
      <c r="Q797">
        <f>N797-K797</f>
        <v>0</v>
      </c>
      <c r="R797">
        <f>O797-L797</f>
        <v>0</v>
      </c>
      <c r="S797">
        <f>P797-M797</f>
        <v>0</v>
      </c>
      <c r="T797">
        <v>1</v>
      </c>
      <c r="U797" s="14">
        <v>701</v>
      </c>
      <c r="V797" s="14">
        <v>2</v>
      </c>
      <c r="W797" s="16">
        <v>2.2656935905630897E-6</v>
      </c>
      <c r="X797" s="16">
        <v>3.6220597929630623E-6</v>
      </c>
    </row>
    <row r="798" spans="1:24" x14ac:dyDescent="0.2">
      <c r="A798" t="s">
        <v>14</v>
      </c>
      <c r="B798" s="35" t="s">
        <v>19</v>
      </c>
      <c r="C798" t="s">
        <v>42</v>
      </c>
      <c r="D798" t="s">
        <v>111</v>
      </c>
      <c r="E798" t="s">
        <v>353</v>
      </c>
      <c r="F798" t="s">
        <v>1385</v>
      </c>
      <c r="H798" t="s">
        <v>1670</v>
      </c>
      <c r="I798" t="s">
        <v>1670</v>
      </c>
      <c r="J798" t="s">
        <v>1673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f>N798-K798</f>
        <v>0</v>
      </c>
      <c r="R798">
        <f>O798-L798</f>
        <v>0</v>
      </c>
      <c r="S798">
        <f>P798-M798</f>
        <v>0</v>
      </c>
      <c r="T798">
        <v>1</v>
      </c>
      <c r="U798" s="14">
        <v>684</v>
      </c>
      <c r="V798" s="14">
        <v>2</v>
      </c>
      <c r="W798" s="16">
        <v>2.2107480969260394E-6</v>
      </c>
      <c r="X798" s="16">
        <v>3.6220597929630623E-6</v>
      </c>
    </row>
    <row r="799" spans="1:24" x14ac:dyDescent="0.2">
      <c r="A799" t="s">
        <v>14</v>
      </c>
      <c r="B799" s="35" t="s">
        <v>19</v>
      </c>
      <c r="C799" t="s">
        <v>52</v>
      </c>
      <c r="D799" t="s">
        <v>140</v>
      </c>
      <c r="E799" t="s">
        <v>620</v>
      </c>
      <c r="F799" t="s">
        <v>620</v>
      </c>
      <c r="H799" t="s">
        <v>1670</v>
      </c>
      <c r="I799" t="s">
        <v>1670</v>
      </c>
      <c r="J799" t="s">
        <v>1674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f>N799-K799</f>
        <v>0</v>
      </c>
      <c r="R799">
        <f>O799-L799</f>
        <v>0</v>
      </c>
      <c r="S799">
        <f>P799-M799</f>
        <v>0</v>
      </c>
      <c r="T799">
        <v>2</v>
      </c>
      <c r="U799" s="14">
        <v>668</v>
      </c>
      <c r="V799" s="14">
        <v>2</v>
      </c>
      <c r="W799" s="16">
        <v>2.1590346911499915E-6</v>
      </c>
      <c r="X799" s="16">
        <v>3.6220597929630623E-6</v>
      </c>
    </row>
    <row r="800" spans="1:24" x14ac:dyDescent="0.2">
      <c r="A800" t="s">
        <v>16</v>
      </c>
      <c r="B800" t="s">
        <v>22</v>
      </c>
      <c r="C800" t="s">
        <v>39</v>
      </c>
      <c r="D800" t="s">
        <v>162</v>
      </c>
      <c r="E800" t="s">
        <v>456</v>
      </c>
      <c r="F800" t="s">
        <v>1035</v>
      </c>
      <c r="H800" t="s">
        <v>1670</v>
      </c>
      <c r="I800" t="s">
        <v>1670</v>
      </c>
      <c r="J800" t="s">
        <v>1674</v>
      </c>
      <c r="K800">
        <v>3</v>
      </c>
      <c r="L800">
        <v>0</v>
      </c>
      <c r="M800">
        <v>3</v>
      </c>
      <c r="N800">
        <v>8</v>
      </c>
      <c r="O800">
        <v>0</v>
      </c>
      <c r="P800">
        <v>8</v>
      </c>
      <c r="Q800">
        <f>N800-K800</f>
        <v>5</v>
      </c>
      <c r="R800">
        <f>O800-L800</f>
        <v>0</v>
      </c>
      <c r="S800">
        <f>P800-M800</f>
        <v>5</v>
      </c>
      <c r="T800">
        <v>1</v>
      </c>
      <c r="U800" s="14">
        <v>623</v>
      </c>
      <c r="V800" s="14">
        <v>1</v>
      </c>
      <c r="W800" s="16">
        <v>2.0135907374048574E-6</v>
      </c>
      <c r="X800" s="16">
        <v>1.8110298964815312E-6</v>
      </c>
    </row>
    <row r="801" spans="1:24" x14ac:dyDescent="0.2">
      <c r="A801" t="s">
        <v>14</v>
      </c>
      <c r="B801" s="35" t="s">
        <v>19</v>
      </c>
      <c r="C801" t="s">
        <v>27</v>
      </c>
      <c r="D801" t="s">
        <v>136</v>
      </c>
      <c r="E801" t="s">
        <v>606</v>
      </c>
      <c r="F801" t="s">
        <v>1378</v>
      </c>
      <c r="H801" t="s">
        <v>1670</v>
      </c>
      <c r="I801" t="s">
        <v>1670</v>
      </c>
      <c r="J801" t="s">
        <v>1674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f>N801-K801</f>
        <v>0</v>
      </c>
      <c r="R801">
        <f>O801-L801</f>
        <v>0</v>
      </c>
      <c r="S801">
        <f>P801-M801</f>
        <v>0</v>
      </c>
      <c r="T801">
        <v>2</v>
      </c>
      <c r="U801" s="14">
        <v>616.98</v>
      </c>
      <c r="V801" s="14">
        <v>2</v>
      </c>
      <c r="W801" s="16">
        <v>1.9941335684816194E-6</v>
      </c>
      <c r="X801" s="16">
        <v>3.6220597929630623E-6</v>
      </c>
    </row>
    <row r="802" spans="1:24" x14ac:dyDescent="0.2">
      <c r="A802" t="s">
        <v>16</v>
      </c>
      <c r="B802" t="s">
        <v>22</v>
      </c>
      <c r="C802" t="s">
        <v>39</v>
      </c>
      <c r="D802" t="s">
        <v>166</v>
      </c>
      <c r="E802" t="s">
        <v>646</v>
      </c>
      <c r="F802" t="s">
        <v>1497</v>
      </c>
      <c r="H802" t="s">
        <v>1670</v>
      </c>
      <c r="I802" t="s">
        <v>1670</v>
      </c>
      <c r="J802" t="s">
        <v>1673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f>N802-K802</f>
        <v>0</v>
      </c>
      <c r="R802">
        <f>O802-L802</f>
        <v>0</v>
      </c>
      <c r="S802">
        <f>P802-M802</f>
        <v>0</v>
      </c>
      <c r="T802">
        <v>1</v>
      </c>
      <c r="U802" s="14">
        <v>609</v>
      </c>
      <c r="V802" s="14">
        <v>1</v>
      </c>
      <c r="W802" s="16">
        <v>1.9683415073508158E-6</v>
      </c>
      <c r="X802" s="16">
        <v>1.8110298964815312E-6</v>
      </c>
    </row>
    <row r="803" spans="1:24" x14ac:dyDescent="0.2">
      <c r="A803" t="s">
        <v>13</v>
      </c>
      <c r="B803" t="s">
        <v>22</v>
      </c>
      <c r="C803" t="s">
        <v>46</v>
      </c>
      <c r="D803" t="s">
        <v>170</v>
      </c>
      <c r="E803" t="s">
        <v>468</v>
      </c>
      <c r="F803" t="s">
        <v>1393</v>
      </c>
      <c r="H803" t="s">
        <v>1670</v>
      </c>
      <c r="I803" t="s">
        <v>1671</v>
      </c>
      <c r="J803" t="s">
        <v>1674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f>N803-K803</f>
        <v>0</v>
      </c>
      <c r="R803">
        <f>O803-L803</f>
        <v>0</v>
      </c>
      <c r="S803">
        <f>P803-M803</f>
        <v>0</v>
      </c>
      <c r="T803">
        <v>1</v>
      </c>
      <c r="U803" s="14">
        <v>521</v>
      </c>
      <c r="V803" s="14">
        <v>7</v>
      </c>
      <c r="W803" s="16">
        <v>1.6839177755825534E-6</v>
      </c>
      <c r="X803" s="16">
        <v>1.2677209275370719E-5</v>
      </c>
    </row>
    <row r="804" spans="1:24" x14ac:dyDescent="0.2">
      <c r="A804" t="s">
        <v>14</v>
      </c>
      <c r="B804" s="35" t="s">
        <v>19</v>
      </c>
      <c r="C804" t="s">
        <v>48</v>
      </c>
      <c r="D804" t="s">
        <v>131</v>
      </c>
      <c r="E804" t="s">
        <v>549</v>
      </c>
      <c r="F804" t="s">
        <v>1575</v>
      </c>
      <c r="H804" t="s">
        <v>1670</v>
      </c>
      <c r="I804" t="s">
        <v>1670</v>
      </c>
      <c r="J804" t="s">
        <v>1674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f>N804-K804</f>
        <v>0</v>
      </c>
      <c r="R804">
        <f>O804-L804</f>
        <v>0</v>
      </c>
      <c r="S804">
        <f>P804-M804</f>
        <v>0</v>
      </c>
      <c r="T804">
        <v>2</v>
      </c>
      <c r="U804" s="14">
        <v>393.46</v>
      </c>
      <c r="V804" s="14">
        <v>11</v>
      </c>
      <c r="W804" s="16">
        <v>1.2716972897902329E-6</v>
      </c>
      <c r="X804" s="16">
        <v>1.9921328861296842E-5</v>
      </c>
    </row>
    <row r="805" spans="1:24" x14ac:dyDescent="0.2">
      <c r="A805" t="s">
        <v>14</v>
      </c>
      <c r="B805" s="35" t="s">
        <v>19</v>
      </c>
      <c r="C805" t="s">
        <v>27</v>
      </c>
      <c r="D805" t="s">
        <v>136</v>
      </c>
      <c r="E805" t="s">
        <v>606</v>
      </c>
      <c r="F805" t="s">
        <v>1519</v>
      </c>
      <c r="H805" t="s">
        <v>1670</v>
      </c>
      <c r="I805" t="s">
        <v>1670</v>
      </c>
      <c r="J805" t="s">
        <v>1674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f>N805-K805</f>
        <v>0</v>
      </c>
      <c r="R805">
        <f>O805-L805</f>
        <v>0</v>
      </c>
      <c r="S805">
        <f>P805-M805</f>
        <v>0</v>
      </c>
      <c r="T805">
        <v>2</v>
      </c>
      <c r="U805" s="14">
        <v>381</v>
      </c>
      <c r="V805" s="14">
        <v>2</v>
      </c>
      <c r="W805" s="16">
        <v>1.2314254750421358E-6</v>
      </c>
      <c r="X805" s="16">
        <v>3.6220597929630623E-6</v>
      </c>
    </row>
    <row r="806" spans="1:24" x14ac:dyDescent="0.2">
      <c r="A806" t="s">
        <v>13</v>
      </c>
      <c r="B806" t="s">
        <v>22</v>
      </c>
      <c r="C806" t="s">
        <v>40</v>
      </c>
      <c r="D806" t="s">
        <v>214</v>
      </c>
      <c r="E806" t="s">
        <v>621</v>
      </c>
      <c r="F806" t="s">
        <v>1420</v>
      </c>
      <c r="H806" t="s">
        <v>1670</v>
      </c>
      <c r="I806" t="s">
        <v>1670</v>
      </c>
      <c r="J806" t="s">
        <v>1673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f>N806-K806</f>
        <v>0</v>
      </c>
      <c r="R806">
        <f>O806-L806</f>
        <v>0</v>
      </c>
      <c r="S806">
        <f>P806-M806</f>
        <v>0</v>
      </c>
      <c r="T806">
        <v>2</v>
      </c>
      <c r="U806" s="14">
        <v>365</v>
      </c>
      <c r="V806" s="14">
        <v>1</v>
      </c>
      <c r="W806" s="16">
        <v>1.1797120692660882E-6</v>
      </c>
      <c r="X806" s="16">
        <v>1.8110298964815312E-6</v>
      </c>
    </row>
    <row r="807" spans="1:24" x14ac:dyDescent="0.2">
      <c r="A807" t="s">
        <v>13</v>
      </c>
      <c r="B807" t="s">
        <v>22</v>
      </c>
      <c r="C807" t="s">
        <v>46</v>
      </c>
      <c r="D807" t="s">
        <v>170</v>
      </c>
      <c r="E807" t="s">
        <v>608</v>
      </c>
      <c r="F807" t="s">
        <v>1641</v>
      </c>
      <c r="H807" t="s">
        <v>1670</v>
      </c>
      <c r="I807" t="s">
        <v>1672</v>
      </c>
      <c r="J807" t="s">
        <v>1674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f>N807-K807</f>
        <v>0</v>
      </c>
      <c r="R807">
        <f>O807-L807</f>
        <v>0</v>
      </c>
      <c r="S807">
        <f>P807-M807</f>
        <v>0</v>
      </c>
      <c r="T807">
        <v>1</v>
      </c>
      <c r="U807" s="14">
        <v>356</v>
      </c>
      <c r="V807" s="14">
        <v>1</v>
      </c>
      <c r="W807" s="16">
        <v>1.1506232785170613E-6</v>
      </c>
      <c r="X807" s="16">
        <v>1.8110298964815312E-6</v>
      </c>
    </row>
    <row r="808" spans="1:24" x14ac:dyDescent="0.2">
      <c r="A808" t="s">
        <v>16</v>
      </c>
      <c r="B808" t="s">
        <v>22</v>
      </c>
      <c r="C808" t="s">
        <v>39</v>
      </c>
      <c r="D808" t="s">
        <v>156</v>
      </c>
      <c r="E808" t="s">
        <v>434</v>
      </c>
      <c r="F808" t="s">
        <v>995</v>
      </c>
      <c r="H808" t="s">
        <v>1670</v>
      </c>
      <c r="I808" t="s">
        <v>1670</v>
      </c>
      <c r="J808" t="s">
        <v>1673</v>
      </c>
      <c r="K808">
        <v>1</v>
      </c>
      <c r="L808">
        <v>0</v>
      </c>
      <c r="M808">
        <v>1</v>
      </c>
      <c r="N808">
        <v>1</v>
      </c>
      <c r="O808">
        <v>0</v>
      </c>
      <c r="P808">
        <v>1</v>
      </c>
      <c r="Q808">
        <f>N808-K808</f>
        <v>0</v>
      </c>
      <c r="R808">
        <f>O808-L808</f>
        <v>0</v>
      </c>
      <c r="S808">
        <f>P808-M808</f>
        <v>0</v>
      </c>
      <c r="T808">
        <v>1</v>
      </c>
      <c r="U808" s="14">
        <v>353.51</v>
      </c>
      <c r="V808" s="14">
        <v>10</v>
      </c>
      <c r="W808" s="16">
        <v>1.1425753797431639E-6</v>
      </c>
      <c r="X808" s="16">
        <v>1.8110298964815311E-5</v>
      </c>
    </row>
    <row r="809" spans="1:24" x14ac:dyDescent="0.2">
      <c r="A809" t="s">
        <v>14</v>
      </c>
      <c r="B809" s="35" t="s">
        <v>19</v>
      </c>
      <c r="C809" t="s">
        <v>27</v>
      </c>
      <c r="D809" t="s">
        <v>134</v>
      </c>
      <c r="E809" t="s">
        <v>382</v>
      </c>
      <c r="F809" t="s">
        <v>1615</v>
      </c>
      <c r="H809" t="s">
        <v>1670</v>
      </c>
      <c r="I809" t="s">
        <v>1670</v>
      </c>
      <c r="J809" t="s">
        <v>1674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f>N809-K809</f>
        <v>0</v>
      </c>
      <c r="R809">
        <f>O809-L809</f>
        <v>0</v>
      </c>
      <c r="S809">
        <f>P809-M809</f>
        <v>0</v>
      </c>
      <c r="T809">
        <v>3</v>
      </c>
      <c r="U809" s="14">
        <v>341.47</v>
      </c>
      <c r="V809" s="14">
        <v>4</v>
      </c>
      <c r="W809" s="16">
        <v>1.1036610418966881E-6</v>
      </c>
      <c r="X809" s="16">
        <v>7.2441195859261247E-6</v>
      </c>
    </row>
    <row r="810" spans="1:24" x14ac:dyDescent="0.2">
      <c r="A810" t="s">
        <v>14</v>
      </c>
      <c r="B810" s="35" t="s">
        <v>19</v>
      </c>
      <c r="C810" t="s">
        <v>27</v>
      </c>
      <c r="D810" t="s">
        <v>135</v>
      </c>
      <c r="E810" t="s">
        <v>383</v>
      </c>
      <c r="F810" t="s">
        <v>901</v>
      </c>
      <c r="H810" t="s">
        <v>1670</v>
      </c>
      <c r="I810" t="s">
        <v>1670</v>
      </c>
      <c r="J810" t="s">
        <v>1674</v>
      </c>
      <c r="K810">
        <v>2</v>
      </c>
      <c r="L810">
        <v>0</v>
      </c>
      <c r="M810">
        <v>2</v>
      </c>
      <c r="N810">
        <v>2</v>
      </c>
      <c r="O810">
        <v>0</v>
      </c>
      <c r="P810">
        <v>2</v>
      </c>
      <c r="Q810">
        <f>N810-K810</f>
        <v>0</v>
      </c>
      <c r="R810">
        <f>O810-L810</f>
        <v>0</v>
      </c>
      <c r="S810">
        <f>P810-M810</f>
        <v>0</v>
      </c>
      <c r="T810">
        <v>2</v>
      </c>
      <c r="U810" s="14">
        <v>312</v>
      </c>
      <c r="V810" s="14">
        <v>2</v>
      </c>
      <c r="W810" s="16">
        <v>1.0084114126329302E-6</v>
      </c>
      <c r="X810" s="16">
        <v>3.6220597929630623E-6</v>
      </c>
    </row>
    <row r="811" spans="1:24" x14ac:dyDescent="0.2">
      <c r="A811" t="s">
        <v>13</v>
      </c>
      <c r="B811" t="s">
        <v>22</v>
      </c>
      <c r="C811" t="s">
        <v>46</v>
      </c>
      <c r="D811" t="s">
        <v>170</v>
      </c>
      <c r="E811" t="s">
        <v>636</v>
      </c>
      <c r="F811" t="s">
        <v>1469</v>
      </c>
      <c r="H811" t="s">
        <v>1670</v>
      </c>
      <c r="I811" t="s">
        <v>1671</v>
      </c>
      <c r="J811" t="s">
        <v>1674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f>N811-K811</f>
        <v>0</v>
      </c>
      <c r="R811">
        <f>O811-L811</f>
        <v>0</v>
      </c>
      <c r="S811">
        <f>P811-M811</f>
        <v>0</v>
      </c>
      <c r="T811">
        <v>1</v>
      </c>
      <c r="U811" s="14">
        <v>272.64999999999998</v>
      </c>
      <c r="V811" s="14">
        <v>3</v>
      </c>
      <c r="W811" s="16">
        <v>8.8122875530246281E-7</v>
      </c>
      <c r="X811" s="16">
        <v>5.4330896894445931E-6</v>
      </c>
    </row>
    <row r="812" spans="1:24" x14ac:dyDescent="0.2">
      <c r="A812" t="s">
        <v>14</v>
      </c>
      <c r="B812" s="35" t="s">
        <v>19</v>
      </c>
      <c r="C812" t="s">
        <v>48</v>
      </c>
      <c r="D812" t="s">
        <v>129</v>
      </c>
      <c r="E812" t="s">
        <v>370</v>
      </c>
      <c r="F812" t="s">
        <v>1532</v>
      </c>
      <c r="H812" t="s">
        <v>1670</v>
      </c>
      <c r="I812" t="s">
        <v>1670</v>
      </c>
      <c r="J812" t="s">
        <v>1674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f>N812-K812</f>
        <v>0</v>
      </c>
      <c r="R812">
        <f>O812-L812</f>
        <v>0</v>
      </c>
      <c r="S812">
        <f>P812-M812</f>
        <v>0</v>
      </c>
      <c r="T812">
        <v>2</v>
      </c>
      <c r="U812" s="14">
        <v>259</v>
      </c>
      <c r="V812" s="14">
        <v>3</v>
      </c>
      <c r="W812" s="16">
        <v>8.371107559997722E-7</v>
      </c>
      <c r="X812" s="16">
        <v>5.4330896894445931E-6</v>
      </c>
    </row>
    <row r="813" spans="1:24" x14ac:dyDescent="0.2">
      <c r="A813" t="s">
        <v>16</v>
      </c>
      <c r="B813" t="s">
        <v>22</v>
      </c>
      <c r="C813" t="s">
        <v>46</v>
      </c>
      <c r="D813" t="s">
        <v>211</v>
      </c>
      <c r="E813" t="s">
        <v>602</v>
      </c>
      <c r="F813" t="s">
        <v>1375</v>
      </c>
      <c r="H813" t="s">
        <v>1670</v>
      </c>
      <c r="I813" t="s">
        <v>1672</v>
      </c>
      <c r="J813" t="s">
        <v>1674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f>N813-K813</f>
        <v>0</v>
      </c>
      <c r="R813">
        <f>O813-L813</f>
        <v>0</v>
      </c>
      <c r="S813">
        <f>P813-M813</f>
        <v>0</v>
      </c>
      <c r="T813">
        <v>1</v>
      </c>
      <c r="U813" s="14">
        <v>257.43</v>
      </c>
      <c r="V813" s="14">
        <v>7</v>
      </c>
      <c r="W813" s="16">
        <v>8.3203637805799748E-7</v>
      </c>
      <c r="X813" s="16">
        <v>1.2677209275370719E-5</v>
      </c>
    </row>
    <row r="814" spans="1:24" x14ac:dyDescent="0.2">
      <c r="A814" t="s">
        <v>13</v>
      </c>
      <c r="B814" t="s">
        <v>22</v>
      </c>
      <c r="C814" t="s">
        <v>46</v>
      </c>
      <c r="D814" t="s">
        <v>171</v>
      </c>
      <c r="E814" t="s">
        <v>618</v>
      </c>
      <c r="F814" t="s">
        <v>1533</v>
      </c>
      <c r="H814" t="s">
        <v>1670</v>
      </c>
      <c r="I814" t="s">
        <v>1671</v>
      </c>
      <c r="J814" t="s">
        <v>1674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f>N814-K814</f>
        <v>0</v>
      </c>
      <c r="R814">
        <f>O814-L814</f>
        <v>0</v>
      </c>
      <c r="S814">
        <f>P814-M814</f>
        <v>0</v>
      </c>
      <c r="T814">
        <v>1</v>
      </c>
      <c r="U814" s="14">
        <v>228</v>
      </c>
      <c r="V814" s="14">
        <v>6</v>
      </c>
      <c r="W814" s="16">
        <v>7.3691603230867979E-7</v>
      </c>
      <c r="X814" s="16">
        <v>1.0866179378889186E-5</v>
      </c>
    </row>
    <row r="815" spans="1:24" x14ac:dyDescent="0.2">
      <c r="A815" t="s">
        <v>17</v>
      </c>
      <c r="B815" t="s">
        <v>22</v>
      </c>
      <c r="C815" t="s">
        <v>46</v>
      </c>
      <c r="D815" t="s">
        <v>211</v>
      </c>
      <c r="E815" t="s">
        <v>642</v>
      </c>
      <c r="F815" t="s">
        <v>642</v>
      </c>
      <c r="H815" t="s">
        <v>1670</v>
      </c>
      <c r="I815" t="s">
        <v>1672</v>
      </c>
      <c r="J815" t="s">
        <v>1674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f>N815-K815</f>
        <v>0</v>
      </c>
      <c r="R815">
        <f>O815-L815</f>
        <v>0</v>
      </c>
      <c r="S815">
        <f>P815-M815</f>
        <v>0</v>
      </c>
      <c r="T815">
        <v>2</v>
      </c>
      <c r="U815" s="14">
        <v>198.79000000000002</v>
      </c>
      <c r="V815" s="14">
        <v>10</v>
      </c>
      <c r="W815" s="16">
        <v>6.4250674588878267E-7</v>
      </c>
      <c r="X815" s="16">
        <v>1.8110298964815311E-5</v>
      </c>
    </row>
    <row r="816" spans="1:24" x14ac:dyDescent="0.2">
      <c r="A816" t="s">
        <v>16</v>
      </c>
      <c r="B816" t="s">
        <v>22</v>
      </c>
      <c r="C816" t="s">
        <v>46</v>
      </c>
      <c r="D816" t="s">
        <v>211</v>
      </c>
      <c r="E816" t="s">
        <v>617</v>
      </c>
      <c r="F816" t="s">
        <v>617</v>
      </c>
      <c r="H816" t="s">
        <v>1670</v>
      </c>
      <c r="I816" t="s">
        <v>1672</v>
      </c>
      <c r="J816" t="s">
        <v>1674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f>N816-K816</f>
        <v>0</v>
      </c>
      <c r="R816">
        <f>O816-L816</f>
        <v>0</v>
      </c>
      <c r="S816">
        <f>P816-M816</f>
        <v>0</v>
      </c>
      <c r="T816">
        <v>2</v>
      </c>
      <c r="U816" s="14">
        <v>190</v>
      </c>
      <c r="V816" s="14">
        <v>7</v>
      </c>
      <c r="W816" s="16">
        <v>6.1409669359056645E-7</v>
      </c>
      <c r="X816" s="16">
        <v>1.2677209275370719E-5</v>
      </c>
    </row>
    <row r="817" spans="1:24" x14ac:dyDescent="0.2">
      <c r="A817" t="s">
        <v>16</v>
      </c>
      <c r="B817" t="s">
        <v>22</v>
      </c>
      <c r="C817" t="s">
        <v>46</v>
      </c>
      <c r="D817" t="s">
        <v>211</v>
      </c>
      <c r="E817" t="s">
        <v>629</v>
      </c>
      <c r="F817" t="s">
        <v>629</v>
      </c>
      <c r="G817" t="s">
        <v>1719</v>
      </c>
      <c r="H817" t="s">
        <v>1670</v>
      </c>
      <c r="I817" t="s">
        <v>1672</v>
      </c>
      <c r="J817" t="s">
        <v>1674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f>N817-K817</f>
        <v>0</v>
      </c>
      <c r="R817">
        <f>O817-L817</f>
        <v>0</v>
      </c>
      <c r="S817">
        <f>P817-M817</f>
        <v>0</v>
      </c>
      <c r="T817">
        <v>1</v>
      </c>
      <c r="U817" s="14">
        <v>175.46</v>
      </c>
      <c r="V817" s="14">
        <v>1</v>
      </c>
      <c r="W817" s="16">
        <v>5.6710213609158317E-7</v>
      </c>
      <c r="X817" s="16">
        <v>1.8110298964815312E-6</v>
      </c>
    </row>
    <row r="818" spans="1:24" x14ac:dyDescent="0.2">
      <c r="A818" t="s">
        <v>14</v>
      </c>
      <c r="B818" s="35" t="s">
        <v>19</v>
      </c>
      <c r="C818" t="s">
        <v>48</v>
      </c>
      <c r="D818" t="s">
        <v>130</v>
      </c>
      <c r="E818" t="s">
        <v>594</v>
      </c>
      <c r="F818" t="s">
        <v>1370</v>
      </c>
      <c r="H818" t="s">
        <v>1670</v>
      </c>
      <c r="I818" t="s">
        <v>1670</v>
      </c>
      <c r="J818" t="s">
        <v>1674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f>N818-K818</f>
        <v>0</v>
      </c>
      <c r="R818">
        <f>O818-L818</f>
        <v>0</v>
      </c>
      <c r="S818">
        <f>P818-M818</f>
        <v>0</v>
      </c>
      <c r="T818">
        <v>1</v>
      </c>
      <c r="U818" s="14">
        <v>167</v>
      </c>
      <c r="V818" s="14">
        <v>1</v>
      </c>
      <c r="W818" s="16">
        <v>5.3975867278749787E-7</v>
      </c>
      <c r="X818" s="16">
        <v>1.8110298964815312E-6</v>
      </c>
    </row>
    <row r="819" spans="1:24" x14ac:dyDescent="0.2">
      <c r="A819" t="s">
        <v>16</v>
      </c>
      <c r="B819" t="s">
        <v>22</v>
      </c>
      <c r="C819" t="s">
        <v>46</v>
      </c>
      <c r="D819" t="s">
        <v>211</v>
      </c>
      <c r="E819" t="s">
        <v>605</v>
      </c>
      <c r="F819" t="s">
        <v>1624</v>
      </c>
      <c r="G819" t="s">
        <v>1719</v>
      </c>
      <c r="H819" t="s">
        <v>1670</v>
      </c>
      <c r="I819" t="s">
        <v>1672</v>
      </c>
      <c r="J819" t="s">
        <v>1674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f>N819-K819</f>
        <v>0</v>
      </c>
      <c r="R819">
        <f>O819-L819</f>
        <v>0</v>
      </c>
      <c r="S819">
        <f>P819-M819</f>
        <v>0</v>
      </c>
      <c r="T819">
        <v>0</v>
      </c>
      <c r="U819" s="14">
        <v>0</v>
      </c>
      <c r="V819" s="14">
        <v>0</v>
      </c>
      <c r="W819" s="16">
        <v>0</v>
      </c>
      <c r="X819" s="16">
        <v>0</v>
      </c>
    </row>
    <row r="820" spans="1:24" x14ac:dyDescent="0.2">
      <c r="A820" t="s">
        <v>16</v>
      </c>
      <c r="B820" t="s">
        <v>22</v>
      </c>
      <c r="C820" t="s">
        <v>39</v>
      </c>
      <c r="D820" t="s">
        <v>156</v>
      </c>
      <c r="E820" t="s">
        <v>663</v>
      </c>
      <c r="F820" t="s">
        <v>1634</v>
      </c>
      <c r="H820" t="s">
        <v>1670</v>
      </c>
      <c r="I820" t="s">
        <v>1670</v>
      </c>
      <c r="J820" t="s">
        <v>1673</v>
      </c>
      <c r="K820">
        <v>0</v>
      </c>
      <c r="L820">
        <v>0</v>
      </c>
      <c r="M820">
        <v>0</v>
      </c>
      <c r="N820">
        <v>4</v>
      </c>
      <c r="O820">
        <v>0</v>
      </c>
      <c r="P820">
        <v>4</v>
      </c>
      <c r="Q820">
        <f>N820-K820</f>
        <v>4</v>
      </c>
      <c r="R820">
        <f>O820-L820</f>
        <v>0</v>
      </c>
      <c r="S820">
        <f>P820-M820</f>
        <v>4</v>
      </c>
      <c r="T820">
        <v>0</v>
      </c>
      <c r="U820" s="14">
        <v>0</v>
      </c>
      <c r="V820" s="14">
        <v>0</v>
      </c>
      <c r="W820" s="16">
        <v>0</v>
      </c>
      <c r="X820" s="16">
        <v>0</v>
      </c>
    </row>
    <row r="821" spans="1:24" x14ac:dyDescent="0.2">
      <c r="A821" t="s">
        <v>13</v>
      </c>
      <c r="B821" t="s">
        <v>19</v>
      </c>
      <c r="C821" t="s">
        <v>34</v>
      </c>
      <c r="D821" t="s">
        <v>85</v>
      </c>
      <c r="E821" t="s">
        <v>291</v>
      </c>
      <c r="F821" t="s">
        <v>749</v>
      </c>
      <c r="H821" t="s">
        <v>1670</v>
      </c>
      <c r="I821" t="s">
        <v>1670</v>
      </c>
      <c r="J821" t="s">
        <v>1674</v>
      </c>
      <c r="K821">
        <v>23</v>
      </c>
      <c r="L821">
        <v>0</v>
      </c>
      <c r="M821">
        <v>23</v>
      </c>
      <c r="N821">
        <v>25</v>
      </c>
      <c r="O821">
        <v>0</v>
      </c>
      <c r="P821">
        <v>25</v>
      </c>
      <c r="Q821">
        <f>N821-K821</f>
        <v>2</v>
      </c>
      <c r="R821">
        <f>O821-L821</f>
        <v>0</v>
      </c>
      <c r="S821">
        <f>P821-M821</f>
        <v>2</v>
      </c>
      <c r="T821">
        <v>0</v>
      </c>
      <c r="U821" s="14">
        <v>0</v>
      </c>
      <c r="V821" s="14">
        <v>0</v>
      </c>
      <c r="W821" s="16">
        <v>0</v>
      </c>
      <c r="X821" s="16">
        <v>0</v>
      </c>
    </row>
    <row r="822" spans="1:24" x14ac:dyDescent="0.2">
      <c r="A822" t="s">
        <v>16</v>
      </c>
      <c r="B822" t="s">
        <v>22</v>
      </c>
      <c r="C822" t="s">
        <v>39</v>
      </c>
      <c r="D822" t="s">
        <v>59</v>
      </c>
      <c r="E822" t="s">
        <v>595</v>
      </c>
      <c r="F822" t="s">
        <v>1355</v>
      </c>
      <c r="H822" t="s">
        <v>1670</v>
      </c>
      <c r="I822" t="s">
        <v>1670</v>
      </c>
      <c r="J822" t="s">
        <v>1674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2</v>
      </c>
      <c r="Q822">
        <f>N822-K822</f>
        <v>2</v>
      </c>
      <c r="R822">
        <f>O822-L822</f>
        <v>0</v>
      </c>
      <c r="S822">
        <f>P822-M822</f>
        <v>2</v>
      </c>
      <c r="T822">
        <v>0</v>
      </c>
      <c r="U822" s="14">
        <v>0</v>
      </c>
      <c r="V822" s="14">
        <v>0</v>
      </c>
      <c r="W822" s="16">
        <v>0</v>
      </c>
      <c r="X822" s="16">
        <v>0</v>
      </c>
    </row>
    <row r="823" spans="1:24" x14ac:dyDescent="0.2">
      <c r="A823" t="s">
        <v>16</v>
      </c>
      <c r="B823" t="s">
        <v>22</v>
      </c>
      <c r="C823" t="s">
        <v>46</v>
      </c>
      <c r="D823" t="s">
        <v>211</v>
      </c>
      <c r="E823" t="s">
        <v>601</v>
      </c>
      <c r="F823" t="s">
        <v>1361</v>
      </c>
      <c r="G823" t="s">
        <v>1719</v>
      </c>
      <c r="H823" t="s">
        <v>1670</v>
      </c>
      <c r="I823" t="s">
        <v>1672</v>
      </c>
      <c r="J823" t="s">
        <v>1674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f>N823-K823</f>
        <v>0</v>
      </c>
      <c r="R823">
        <f>O823-L823</f>
        <v>0</v>
      </c>
      <c r="S823">
        <f>P823-M823</f>
        <v>0</v>
      </c>
      <c r="T823">
        <v>0</v>
      </c>
      <c r="U823" s="14">
        <v>0</v>
      </c>
      <c r="V823" s="14">
        <v>0</v>
      </c>
      <c r="W823" s="16">
        <v>0</v>
      </c>
      <c r="X823" s="16">
        <v>0</v>
      </c>
    </row>
    <row r="824" spans="1:24" x14ac:dyDescent="0.2">
      <c r="A824" t="s">
        <v>16</v>
      </c>
      <c r="B824" t="s">
        <v>22</v>
      </c>
      <c r="C824" t="s">
        <v>46</v>
      </c>
      <c r="D824" t="s">
        <v>211</v>
      </c>
      <c r="E824" t="s">
        <v>602</v>
      </c>
      <c r="F824" t="s">
        <v>1368</v>
      </c>
      <c r="G824" t="s">
        <v>1719</v>
      </c>
      <c r="H824" t="s">
        <v>1670</v>
      </c>
      <c r="I824" t="s">
        <v>1672</v>
      </c>
      <c r="J824" t="s">
        <v>1674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f>N824-K824</f>
        <v>0</v>
      </c>
      <c r="R824">
        <f>O824-L824</f>
        <v>0</v>
      </c>
      <c r="S824">
        <f>P824-M824</f>
        <v>0</v>
      </c>
      <c r="T824">
        <v>0</v>
      </c>
      <c r="U824" s="14">
        <v>0</v>
      </c>
      <c r="V824" s="14">
        <v>0</v>
      </c>
      <c r="W824" s="16">
        <v>0</v>
      </c>
      <c r="X824" s="16">
        <v>0</v>
      </c>
    </row>
    <row r="825" spans="1:24" x14ac:dyDescent="0.2">
      <c r="A825" t="s">
        <v>16</v>
      </c>
      <c r="B825" t="s">
        <v>22</v>
      </c>
      <c r="C825" t="s">
        <v>46</v>
      </c>
      <c r="D825" t="s">
        <v>211</v>
      </c>
      <c r="E825" t="s">
        <v>605</v>
      </c>
      <c r="F825" t="s">
        <v>1372</v>
      </c>
      <c r="G825" t="s">
        <v>1719</v>
      </c>
      <c r="H825" t="s">
        <v>1670</v>
      </c>
      <c r="I825" t="s">
        <v>1672</v>
      </c>
      <c r="J825" t="s">
        <v>1674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f>N825-K825</f>
        <v>0</v>
      </c>
      <c r="R825">
        <f>O825-L825</f>
        <v>0</v>
      </c>
      <c r="S825">
        <f>P825-M825</f>
        <v>0</v>
      </c>
      <c r="T825">
        <v>0</v>
      </c>
      <c r="U825" s="14">
        <v>0</v>
      </c>
      <c r="V825" s="14">
        <v>0</v>
      </c>
      <c r="W825" s="16">
        <v>0</v>
      </c>
      <c r="X825" s="16">
        <v>0</v>
      </c>
    </row>
    <row r="826" spans="1:24" x14ac:dyDescent="0.2">
      <c r="A826" t="s">
        <v>16</v>
      </c>
      <c r="B826" t="s">
        <v>22</v>
      </c>
      <c r="C826" t="s">
        <v>46</v>
      </c>
      <c r="D826" t="s">
        <v>211</v>
      </c>
      <c r="E826" t="s">
        <v>612</v>
      </c>
      <c r="F826" t="s">
        <v>1403</v>
      </c>
      <c r="H826" t="s">
        <v>1670</v>
      </c>
      <c r="I826" t="s">
        <v>1671</v>
      </c>
      <c r="J826" t="s">
        <v>1673</v>
      </c>
      <c r="K826">
        <v>0</v>
      </c>
      <c r="L826">
        <v>0</v>
      </c>
      <c r="M826">
        <v>0</v>
      </c>
      <c r="N826">
        <v>2</v>
      </c>
      <c r="O826">
        <v>0</v>
      </c>
      <c r="P826">
        <v>2</v>
      </c>
      <c r="Q826">
        <f>N826-K826</f>
        <v>2</v>
      </c>
      <c r="R826">
        <f>O826-L826</f>
        <v>0</v>
      </c>
      <c r="S826">
        <f>P826-M826</f>
        <v>2</v>
      </c>
      <c r="T826">
        <v>0</v>
      </c>
      <c r="U826" s="14">
        <v>0</v>
      </c>
      <c r="V826" s="14">
        <v>0</v>
      </c>
      <c r="W826" s="16">
        <v>0</v>
      </c>
      <c r="X826" s="16">
        <v>0</v>
      </c>
    </row>
    <row r="827" spans="1:24" x14ac:dyDescent="0.2">
      <c r="A827" t="s">
        <v>16</v>
      </c>
      <c r="B827" t="s">
        <v>22</v>
      </c>
      <c r="C827" t="s">
        <v>46</v>
      </c>
      <c r="D827" t="s">
        <v>211</v>
      </c>
      <c r="E827" t="s">
        <v>630</v>
      </c>
      <c r="F827" t="s">
        <v>1456</v>
      </c>
      <c r="G827" t="s">
        <v>1719</v>
      </c>
      <c r="H827" t="s">
        <v>1670</v>
      </c>
      <c r="I827" t="s">
        <v>1672</v>
      </c>
      <c r="J827" t="s">
        <v>1674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f>N827-K827</f>
        <v>0</v>
      </c>
      <c r="R827">
        <f>O827-L827</f>
        <v>0</v>
      </c>
      <c r="S827">
        <f>P827-M827</f>
        <v>0</v>
      </c>
      <c r="T827">
        <v>0</v>
      </c>
      <c r="U827" s="14">
        <v>0</v>
      </c>
      <c r="V827" s="14">
        <v>0</v>
      </c>
      <c r="W827" s="16">
        <v>0</v>
      </c>
      <c r="X827" s="16">
        <v>0</v>
      </c>
    </row>
    <row r="828" spans="1:24" x14ac:dyDescent="0.2">
      <c r="A828" t="s">
        <v>16</v>
      </c>
      <c r="B828" t="s">
        <v>22</v>
      </c>
      <c r="C828" t="s">
        <v>39</v>
      </c>
      <c r="D828" t="s">
        <v>163</v>
      </c>
      <c r="E828" t="s">
        <v>614</v>
      </c>
      <c r="F828" t="s">
        <v>1464</v>
      </c>
      <c r="H828" t="s">
        <v>1670</v>
      </c>
      <c r="I828" t="s">
        <v>1670</v>
      </c>
      <c r="J828" t="s">
        <v>1674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2</v>
      </c>
      <c r="Q828">
        <f>N828-K828</f>
        <v>2</v>
      </c>
      <c r="R828">
        <f>O828-L828</f>
        <v>0</v>
      </c>
      <c r="S828">
        <f>P828-M828</f>
        <v>2</v>
      </c>
      <c r="T828">
        <v>0</v>
      </c>
      <c r="U828" s="14">
        <v>0</v>
      </c>
      <c r="V828" s="14">
        <v>0</v>
      </c>
      <c r="W828" s="16">
        <v>0</v>
      </c>
      <c r="X828" s="16">
        <v>0</v>
      </c>
    </row>
    <row r="829" spans="1:24" x14ac:dyDescent="0.2">
      <c r="A829" t="s">
        <v>15</v>
      </c>
      <c r="B829" t="s">
        <v>24</v>
      </c>
      <c r="C829" t="s">
        <v>58</v>
      </c>
      <c r="D829" t="s">
        <v>148</v>
      </c>
      <c r="E829" t="s">
        <v>406</v>
      </c>
      <c r="F829" t="s">
        <v>930</v>
      </c>
      <c r="H829" t="s">
        <v>1669</v>
      </c>
      <c r="I829" t="s">
        <v>1670</v>
      </c>
      <c r="J829" t="s">
        <v>1674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f>N829-K829</f>
        <v>-1</v>
      </c>
      <c r="R829">
        <f>O829-L829</f>
        <v>0</v>
      </c>
      <c r="S829">
        <f>P829-M829</f>
        <v>-1</v>
      </c>
      <c r="T829">
        <v>21</v>
      </c>
      <c r="U829" s="14">
        <v>25024.649999999998</v>
      </c>
      <c r="V829" s="14">
        <v>104</v>
      </c>
      <c r="W829" s="16">
        <v>8.0881867490848253E-5</v>
      </c>
      <c r="X829" s="16">
        <v>1.8834710923407922E-4</v>
      </c>
    </row>
    <row r="830" spans="1:24" x14ac:dyDescent="0.2">
      <c r="A830" t="s">
        <v>15</v>
      </c>
      <c r="B830" t="s">
        <v>24</v>
      </c>
      <c r="C830" t="s">
        <v>58</v>
      </c>
      <c r="D830" t="s">
        <v>148</v>
      </c>
      <c r="E830" t="s">
        <v>406</v>
      </c>
      <c r="F830" t="s">
        <v>932</v>
      </c>
      <c r="H830" t="s">
        <v>1669</v>
      </c>
      <c r="I830" t="s">
        <v>1670</v>
      </c>
      <c r="J830" t="s">
        <v>1674</v>
      </c>
      <c r="K830">
        <v>2</v>
      </c>
      <c r="L830">
        <v>0</v>
      </c>
      <c r="M830">
        <v>2</v>
      </c>
      <c r="N830">
        <v>1</v>
      </c>
      <c r="O830">
        <v>0</v>
      </c>
      <c r="P830">
        <v>1</v>
      </c>
      <c r="Q830">
        <f>N830-K830</f>
        <v>-1</v>
      </c>
      <c r="R830">
        <f>O830-L830</f>
        <v>0</v>
      </c>
      <c r="S830">
        <f>P830-M830</f>
        <v>-1</v>
      </c>
      <c r="T830">
        <v>17</v>
      </c>
      <c r="U830" s="14">
        <v>17495.230000000003</v>
      </c>
      <c r="V830" s="14">
        <v>63</v>
      </c>
      <c r="W830" s="16">
        <v>5.6546120508455201E-5</v>
      </c>
      <c r="X830" s="16">
        <v>1.1409488347833646E-4</v>
      </c>
    </row>
    <row r="831" spans="1:24" x14ac:dyDescent="0.2">
      <c r="A831" t="s">
        <v>15</v>
      </c>
      <c r="B831" t="s">
        <v>24</v>
      </c>
      <c r="C831" t="s">
        <v>58</v>
      </c>
      <c r="D831" t="s">
        <v>148</v>
      </c>
      <c r="E831" t="s">
        <v>407</v>
      </c>
      <c r="F831" t="s">
        <v>942</v>
      </c>
      <c r="H831" t="s">
        <v>1669</v>
      </c>
      <c r="I831" t="s">
        <v>1670</v>
      </c>
      <c r="J831" t="s">
        <v>1674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f>N831-K831</f>
        <v>-1</v>
      </c>
      <c r="R831">
        <f>O831-L831</f>
        <v>0</v>
      </c>
      <c r="S831">
        <f>P831-M831</f>
        <v>-1</v>
      </c>
      <c r="T831">
        <v>0</v>
      </c>
      <c r="U831" s="14">
        <v>0</v>
      </c>
      <c r="V831" s="14">
        <v>0</v>
      </c>
      <c r="W831" s="16">
        <v>0</v>
      </c>
      <c r="X831" s="16">
        <v>0</v>
      </c>
    </row>
    <row r="832" spans="1:24" x14ac:dyDescent="0.2">
      <c r="A832" t="s">
        <v>15</v>
      </c>
      <c r="B832" t="s">
        <v>24</v>
      </c>
      <c r="C832" t="s">
        <v>58</v>
      </c>
      <c r="D832" t="s">
        <v>148</v>
      </c>
      <c r="E832" t="s">
        <v>407</v>
      </c>
      <c r="F832" t="s">
        <v>944</v>
      </c>
      <c r="H832" t="s">
        <v>1669</v>
      </c>
      <c r="I832" t="s">
        <v>1670</v>
      </c>
      <c r="J832" t="s">
        <v>1674</v>
      </c>
      <c r="K832">
        <v>3</v>
      </c>
      <c r="L832">
        <v>0</v>
      </c>
      <c r="M832">
        <v>3</v>
      </c>
      <c r="N832">
        <v>2</v>
      </c>
      <c r="O832">
        <v>0</v>
      </c>
      <c r="P832">
        <v>2</v>
      </c>
      <c r="Q832">
        <f>N832-K832</f>
        <v>-1</v>
      </c>
      <c r="R832">
        <f>O832-L832</f>
        <v>0</v>
      </c>
      <c r="S832">
        <f>P832-M832</f>
        <v>-1</v>
      </c>
      <c r="T832">
        <v>2</v>
      </c>
      <c r="U832" s="14">
        <v>1668</v>
      </c>
      <c r="V832" s="14">
        <v>2</v>
      </c>
      <c r="W832" s="16">
        <v>5.3911225521529729E-6</v>
      </c>
      <c r="X832" s="16">
        <v>3.6220597929630623E-6</v>
      </c>
    </row>
    <row r="833" spans="1:24" x14ac:dyDescent="0.2">
      <c r="A833" t="s">
        <v>15</v>
      </c>
      <c r="B833" t="s">
        <v>24</v>
      </c>
      <c r="C833" t="s">
        <v>58</v>
      </c>
      <c r="D833" t="s">
        <v>149</v>
      </c>
      <c r="E833" t="s">
        <v>411</v>
      </c>
      <c r="F833" t="s">
        <v>411</v>
      </c>
      <c r="H833" t="s">
        <v>1669</v>
      </c>
      <c r="I833" t="s">
        <v>1670</v>
      </c>
      <c r="J833" t="s">
        <v>1674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f>N833-K833</f>
        <v>-1</v>
      </c>
      <c r="R833">
        <f>O833-L833</f>
        <v>0</v>
      </c>
      <c r="S833">
        <f>P833-M833</f>
        <v>-1</v>
      </c>
      <c r="T833">
        <v>8</v>
      </c>
      <c r="U833" s="14">
        <v>29574</v>
      </c>
      <c r="V833" s="14">
        <v>24</v>
      </c>
      <c r="W833" s="16">
        <v>9.5585766401302163E-5</v>
      </c>
      <c r="X833" s="16">
        <v>4.3464717515556745E-5</v>
      </c>
    </row>
    <row r="834" spans="1:24" x14ac:dyDescent="0.2">
      <c r="A834" t="s">
        <v>15</v>
      </c>
      <c r="B834" t="s">
        <v>24</v>
      </c>
      <c r="C834" t="s">
        <v>58</v>
      </c>
      <c r="D834" t="s">
        <v>149</v>
      </c>
      <c r="E834" t="s">
        <v>412</v>
      </c>
      <c r="F834" t="s">
        <v>951</v>
      </c>
      <c r="H834" t="s">
        <v>1669</v>
      </c>
      <c r="I834" t="s">
        <v>1670</v>
      </c>
      <c r="J834" t="s">
        <v>1674</v>
      </c>
      <c r="K834">
        <v>1</v>
      </c>
      <c r="L834">
        <v>0</v>
      </c>
      <c r="M834">
        <v>1</v>
      </c>
      <c r="N834">
        <v>0</v>
      </c>
      <c r="O834">
        <v>0</v>
      </c>
      <c r="P834">
        <v>0</v>
      </c>
      <c r="Q834">
        <f>N834-K834</f>
        <v>-1</v>
      </c>
      <c r="R834">
        <f>O834-L834</f>
        <v>0</v>
      </c>
      <c r="S834">
        <f>P834-M834</f>
        <v>-1</v>
      </c>
      <c r="T834">
        <v>2</v>
      </c>
      <c r="U834" s="14">
        <v>2803.19</v>
      </c>
      <c r="V834" s="14">
        <v>5</v>
      </c>
      <c r="W834" s="16">
        <v>9.0601563710849476E-6</v>
      </c>
      <c r="X834" s="16">
        <v>9.0551494824076554E-6</v>
      </c>
    </row>
    <row r="835" spans="1:24" x14ac:dyDescent="0.2">
      <c r="A835" t="s">
        <v>15</v>
      </c>
      <c r="B835" t="s">
        <v>24</v>
      </c>
      <c r="C835" t="s">
        <v>58</v>
      </c>
      <c r="D835" t="s">
        <v>149</v>
      </c>
      <c r="E835" t="s">
        <v>413</v>
      </c>
      <c r="F835" t="s">
        <v>955</v>
      </c>
      <c r="H835" t="s">
        <v>1669</v>
      </c>
      <c r="I835" t="s">
        <v>1670</v>
      </c>
      <c r="J835" t="s">
        <v>1674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f>N835-K835</f>
        <v>-1</v>
      </c>
      <c r="R835">
        <f>O835-L835</f>
        <v>0</v>
      </c>
      <c r="S835">
        <f>P835-M835</f>
        <v>-1</v>
      </c>
      <c r="T835">
        <v>10</v>
      </c>
      <c r="U835" s="14">
        <v>12649.01</v>
      </c>
      <c r="V835" s="14">
        <v>33</v>
      </c>
      <c r="W835" s="16">
        <v>4.0882711674705318E-5</v>
      </c>
      <c r="X835" s="16">
        <v>5.9763986583890528E-5</v>
      </c>
    </row>
    <row r="836" spans="1:24" x14ac:dyDescent="0.2">
      <c r="A836" t="s">
        <v>15</v>
      </c>
      <c r="B836" t="s">
        <v>24</v>
      </c>
      <c r="C836" t="s">
        <v>58</v>
      </c>
      <c r="D836" t="s">
        <v>149</v>
      </c>
      <c r="E836" t="s">
        <v>414</v>
      </c>
      <c r="F836" t="s">
        <v>414</v>
      </c>
      <c r="H836" t="s">
        <v>1669</v>
      </c>
      <c r="I836" t="s">
        <v>1670</v>
      </c>
      <c r="J836" t="s">
        <v>1674</v>
      </c>
      <c r="K836">
        <v>1</v>
      </c>
      <c r="L836">
        <v>0</v>
      </c>
      <c r="M836">
        <v>1</v>
      </c>
      <c r="N836">
        <v>0</v>
      </c>
      <c r="O836">
        <v>0</v>
      </c>
      <c r="P836">
        <v>0</v>
      </c>
      <c r="Q836">
        <f>N836-K836</f>
        <v>-1</v>
      </c>
      <c r="R836">
        <f>O836-L836</f>
        <v>0</v>
      </c>
      <c r="S836">
        <f>P836-M836</f>
        <v>-1</v>
      </c>
      <c r="T836">
        <v>0</v>
      </c>
      <c r="U836" s="14">
        <v>0</v>
      </c>
      <c r="V836" s="14">
        <v>0</v>
      </c>
      <c r="W836" s="16">
        <v>0</v>
      </c>
      <c r="X836" s="16">
        <v>0</v>
      </c>
    </row>
    <row r="837" spans="1:24" x14ac:dyDescent="0.2">
      <c r="A837" t="s">
        <v>15</v>
      </c>
      <c r="B837" t="s">
        <v>24</v>
      </c>
      <c r="C837" t="s">
        <v>58</v>
      </c>
      <c r="D837" t="s">
        <v>149</v>
      </c>
      <c r="E837" t="s">
        <v>421</v>
      </c>
      <c r="F837" t="s">
        <v>959</v>
      </c>
      <c r="H837" t="s">
        <v>1669</v>
      </c>
      <c r="I837" t="s">
        <v>1671</v>
      </c>
      <c r="J837" t="s">
        <v>1674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0</v>
      </c>
      <c r="Q837">
        <f>N837-K837</f>
        <v>-1</v>
      </c>
      <c r="R837">
        <f>O837-L837</f>
        <v>0</v>
      </c>
      <c r="S837">
        <f>P837-M837</f>
        <v>-1</v>
      </c>
      <c r="T837">
        <v>5</v>
      </c>
      <c r="U837" s="14">
        <v>4002</v>
      </c>
      <c r="V837" s="14">
        <v>10</v>
      </c>
      <c r="W837" s="16">
        <v>1.2934815619733931E-5</v>
      </c>
      <c r="X837" s="16">
        <v>1.8110298964815311E-5</v>
      </c>
    </row>
    <row r="838" spans="1:24" x14ac:dyDescent="0.2">
      <c r="A838" t="s">
        <v>15</v>
      </c>
      <c r="B838" t="s">
        <v>24</v>
      </c>
      <c r="C838" t="s">
        <v>58</v>
      </c>
      <c r="D838" t="s">
        <v>149</v>
      </c>
      <c r="E838" t="s">
        <v>421</v>
      </c>
      <c r="F838" t="s">
        <v>960</v>
      </c>
      <c r="H838" t="s">
        <v>1669</v>
      </c>
      <c r="I838" t="s">
        <v>1671</v>
      </c>
      <c r="J838" t="s">
        <v>1674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0</v>
      </c>
      <c r="Q838">
        <f>N838-K838</f>
        <v>-1</v>
      </c>
      <c r="R838">
        <f>O838-L838</f>
        <v>0</v>
      </c>
      <c r="S838">
        <f>P838-M838</f>
        <v>-1</v>
      </c>
      <c r="T838">
        <v>0</v>
      </c>
      <c r="U838" s="14">
        <v>0</v>
      </c>
      <c r="V838" s="14">
        <v>0</v>
      </c>
      <c r="W838" s="16">
        <v>0</v>
      </c>
      <c r="X838" s="16">
        <v>0</v>
      </c>
    </row>
    <row r="839" spans="1:24" x14ac:dyDescent="0.2">
      <c r="A839" t="s">
        <v>15</v>
      </c>
      <c r="B839" t="s">
        <v>24</v>
      </c>
      <c r="C839" t="s">
        <v>58</v>
      </c>
      <c r="D839" t="s">
        <v>149</v>
      </c>
      <c r="E839" t="s">
        <v>423</v>
      </c>
      <c r="F839" t="s">
        <v>962</v>
      </c>
      <c r="H839" t="s">
        <v>1669</v>
      </c>
      <c r="I839" t="s">
        <v>1670</v>
      </c>
      <c r="J839" t="s">
        <v>1674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f>N839-K839</f>
        <v>-1</v>
      </c>
      <c r="R839">
        <f>O839-L839</f>
        <v>0</v>
      </c>
      <c r="S839">
        <f>P839-M839</f>
        <v>-1</v>
      </c>
      <c r="T839">
        <v>12</v>
      </c>
      <c r="U839" s="14">
        <v>31388.6</v>
      </c>
      <c r="V839" s="14">
        <v>60</v>
      </c>
      <c r="W839" s="16">
        <v>1.0145071303387817E-4</v>
      </c>
      <c r="X839" s="16">
        <v>1.0866179378889187E-4</v>
      </c>
    </row>
    <row r="840" spans="1:24" x14ac:dyDescent="0.2">
      <c r="A840" t="s">
        <v>15</v>
      </c>
      <c r="B840" t="s">
        <v>24</v>
      </c>
      <c r="C840" t="s">
        <v>58</v>
      </c>
      <c r="D840" t="s">
        <v>150</v>
      </c>
      <c r="E840" t="s">
        <v>425</v>
      </c>
      <c r="F840" t="s">
        <v>972</v>
      </c>
      <c r="H840" t="s">
        <v>1669</v>
      </c>
      <c r="I840" t="s">
        <v>1670</v>
      </c>
      <c r="J840" t="s">
        <v>1674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f>N840-K840</f>
        <v>-1</v>
      </c>
      <c r="R840">
        <f>O840-L840</f>
        <v>0</v>
      </c>
      <c r="S840">
        <f>P840-M840</f>
        <v>-1</v>
      </c>
      <c r="T840">
        <v>0</v>
      </c>
      <c r="U840" s="14">
        <v>0</v>
      </c>
      <c r="V840" s="14">
        <v>0</v>
      </c>
      <c r="W840" s="16">
        <v>0</v>
      </c>
      <c r="X840" s="16">
        <v>0</v>
      </c>
    </row>
    <row r="841" spans="1:24" x14ac:dyDescent="0.2">
      <c r="A841" t="s">
        <v>15</v>
      </c>
      <c r="B841" t="s">
        <v>24</v>
      </c>
      <c r="C841" t="s">
        <v>58</v>
      </c>
      <c r="D841" t="s">
        <v>150</v>
      </c>
      <c r="E841" t="s">
        <v>425</v>
      </c>
      <c r="F841" t="s">
        <v>978</v>
      </c>
      <c r="H841" t="s">
        <v>1669</v>
      </c>
      <c r="I841" t="s">
        <v>1670</v>
      </c>
      <c r="J841" t="s">
        <v>1674</v>
      </c>
      <c r="K841">
        <v>2</v>
      </c>
      <c r="L841">
        <v>0</v>
      </c>
      <c r="M841">
        <v>2</v>
      </c>
      <c r="N841">
        <v>1</v>
      </c>
      <c r="O841">
        <v>0</v>
      </c>
      <c r="P841">
        <v>1</v>
      </c>
      <c r="Q841">
        <f>N841-K841</f>
        <v>-1</v>
      </c>
      <c r="R841">
        <f>O841-L841</f>
        <v>0</v>
      </c>
      <c r="S841">
        <f>P841-M841</f>
        <v>-1</v>
      </c>
      <c r="T841">
        <v>3</v>
      </c>
      <c r="U841" s="14">
        <v>11056.08</v>
      </c>
      <c r="V841" s="14">
        <v>24</v>
      </c>
      <c r="W841" s="16">
        <v>3.5734221958277841E-5</v>
      </c>
      <c r="X841" s="16">
        <v>4.3464717515556745E-5</v>
      </c>
    </row>
    <row r="842" spans="1:24" x14ac:dyDescent="0.2">
      <c r="A842" t="s">
        <v>16</v>
      </c>
      <c r="B842" t="s">
        <v>22</v>
      </c>
      <c r="C842" t="s">
        <v>46</v>
      </c>
      <c r="D842" t="s">
        <v>211</v>
      </c>
      <c r="E842" t="s">
        <v>634</v>
      </c>
      <c r="F842" t="s">
        <v>1548</v>
      </c>
      <c r="G842" t="s">
        <v>1719</v>
      </c>
      <c r="H842" t="s">
        <v>1670</v>
      </c>
      <c r="I842" t="s">
        <v>1672</v>
      </c>
      <c r="J842" t="s">
        <v>1674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f>N842-K842</f>
        <v>0</v>
      </c>
      <c r="R842">
        <f>O842-L842</f>
        <v>0</v>
      </c>
      <c r="S842">
        <f>P842-M842</f>
        <v>0</v>
      </c>
      <c r="T842">
        <v>0</v>
      </c>
      <c r="U842" s="14">
        <v>0</v>
      </c>
      <c r="V842" s="14">
        <v>0</v>
      </c>
      <c r="W842" s="16">
        <v>0</v>
      </c>
      <c r="X842" s="16">
        <v>0</v>
      </c>
    </row>
    <row r="843" spans="1:24" x14ac:dyDescent="0.2">
      <c r="A843" t="s">
        <v>16</v>
      </c>
      <c r="B843" t="s">
        <v>22</v>
      </c>
      <c r="C843" t="s">
        <v>39</v>
      </c>
      <c r="D843" t="s">
        <v>166</v>
      </c>
      <c r="E843" t="s">
        <v>461</v>
      </c>
      <c r="F843" t="s">
        <v>1577</v>
      </c>
      <c r="H843" t="s">
        <v>1670</v>
      </c>
      <c r="I843" t="s">
        <v>1670</v>
      </c>
      <c r="J843" t="s">
        <v>1673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f>N843-K843</f>
        <v>1</v>
      </c>
      <c r="R843">
        <f>O843-L843</f>
        <v>0</v>
      </c>
      <c r="S843">
        <f>P843-M843</f>
        <v>1</v>
      </c>
      <c r="T843">
        <v>0</v>
      </c>
      <c r="U843" s="14">
        <v>0</v>
      </c>
      <c r="V843" s="14">
        <v>0</v>
      </c>
      <c r="W843" s="16">
        <v>0</v>
      </c>
      <c r="X843" s="16">
        <v>0</v>
      </c>
    </row>
    <row r="844" spans="1:24" x14ac:dyDescent="0.2">
      <c r="A844" t="s">
        <v>16</v>
      </c>
      <c r="B844" t="s">
        <v>22</v>
      </c>
      <c r="C844" t="s">
        <v>46</v>
      </c>
      <c r="D844" t="s">
        <v>211</v>
      </c>
      <c r="E844" t="s">
        <v>602</v>
      </c>
      <c r="F844" t="s">
        <v>1643</v>
      </c>
      <c r="G844" t="s">
        <v>1719</v>
      </c>
      <c r="H844" t="s">
        <v>1670</v>
      </c>
      <c r="I844" t="s">
        <v>1672</v>
      </c>
      <c r="J844" t="s">
        <v>1674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f>N844-K844</f>
        <v>0</v>
      </c>
      <c r="R844">
        <f>O844-L844</f>
        <v>0</v>
      </c>
      <c r="S844">
        <f>P844-M844</f>
        <v>0</v>
      </c>
      <c r="T844">
        <v>0</v>
      </c>
      <c r="U844" s="14">
        <v>0</v>
      </c>
      <c r="V844" s="14">
        <v>0</v>
      </c>
      <c r="W844" s="16">
        <v>0</v>
      </c>
      <c r="X844" s="16">
        <v>0</v>
      </c>
    </row>
    <row r="845" spans="1:24" x14ac:dyDescent="0.2">
      <c r="A845" t="s">
        <v>12</v>
      </c>
      <c r="B845" s="35" t="s">
        <v>19</v>
      </c>
      <c r="C845" t="s">
        <v>27</v>
      </c>
      <c r="D845" t="s">
        <v>66</v>
      </c>
      <c r="E845" t="s">
        <v>248</v>
      </c>
      <c r="F845" t="s">
        <v>248</v>
      </c>
      <c r="H845" t="s">
        <v>1670</v>
      </c>
      <c r="I845" t="s">
        <v>1670</v>
      </c>
      <c r="J845" t="s">
        <v>1673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f>N845-K845</f>
        <v>0</v>
      </c>
      <c r="R845">
        <f>O845-L845</f>
        <v>0</v>
      </c>
      <c r="S845">
        <f>P845-M845</f>
        <v>0</v>
      </c>
      <c r="T845">
        <v>0</v>
      </c>
      <c r="U845" s="14">
        <v>0</v>
      </c>
      <c r="V845" s="14">
        <v>0</v>
      </c>
      <c r="W845" s="16">
        <v>0</v>
      </c>
      <c r="X845" s="16">
        <v>0</v>
      </c>
    </row>
    <row r="846" spans="1:24" x14ac:dyDescent="0.2">
      <c r="A846" t="s">
        <v>16</v>
      </c>
      <c r="B846" t="s">
        <v>22</v>
      </c>
      <c r="C846" t="s">
        <v>39</v>
      </c>
      <c r="D846" t="s">
        <v>155</v>
      </c>
      <c r="E846" t="s">
        <v>443</v>
      </c>
      <c r="F846" t="s">
        <v>1014</v>
      </c>
      <c r="H846" t="s">
        <v>1669</v>
      </c>
      <c r="I846" t="s">
        <v>1670</v>
      </c>
      <c r="J846" t="s">
        <v>1674</v>
      </c>
      <c r="K846">
        <v>1</v>
      </c>
      <c r="L846">
        <v>5</v>
      </c>
      <c r="M846">
        <v>6</v>
      </c>
      <c r="N846">
        <v>0</v>
      </c>
      <c r="O846">
        <v>5</v>
      </c>
      <c r="P846">
        <v>5</v>
      </c>
      <c r="Q846">
        <f>N846-K846</f>
        <v>-1</v>
      </c>
      <c r="R846">
        <f>O846-L846</f>
        <v>0</v>
      </c>
      <c r="S846">
        <f>P846-M846</f>
        <v>-1</v>
      </c>
      <c r="T846">
        <v>16</v>
      </c>
      <c r="U846" s="14">
        <v>26970.339999999997</v>
      </c>
      <c r="V846" s="14">
        <v>135</v>
      </c>
      <c r="W846" s="16">
        <v>8.717050852112314E-5</v>
      </c>
      <c r="X846" s="16">
        <v>2.4448903602500668E-4</v>
      </c>
    </row>
    <row r="847" spans="1:24" x14ac:dyDescent="0.2">
      <c r="A847" t="s">
        <v>13</v>
      </c>
      <c r="B847" t="s">
        <v>19</v>
      </c>
      <c r="C847" t="s">
        <v>34</v>
      </c>
      <c r="D847" t="s">
        <v>85</v>
      </c>
      <c r="E847" t="s">
        <v>292</v>
      </c>
      <c r="F847" t="s">
        <v>751</v>
      </c>
      <c r="H847" t="s">
        <v>1670</v>
      </c>
      <c r="I847" t="s">
        <v>1670</v>
      </c>
      <c r="J847" t="s">
        <v>1674</v>
      </c>
      <c r="K847">
        <v>2</v>
      </c>
      <c r="L847">
        <v>0</v>
      </c>
      <c r="M847">
        <v>2</v>
      </c>
      <c r="N847">
        <v>2</v>
      </c>
      <c r="O847">
        <v>0</v>
      </c>
      <c r="P847">
        <v>2</v>
      </c>
      <c r="Q847">
        <f>N847-K847</f>
        <v>0</v>
      </c>
      <c r="R847">
        <f>O847-L847</f>
        <v>0</v>
      </c>
      <c r="S847">
        <f>P847-M847</f>
        <v>0</v>
      </c>
      <c r="T847">
        <v>0</v>
      </c>
      <c r="U847" s="14">
        <v>0</v>
      </c>
      <c r="V847" s="14">
        <v>0</v>
      </c>
      <c r="W847" s="16">
        <v>0</v>
      </c>
      <c r="X847" s="16">
        <v>0</v>
      </c>
    </row>
    <row r="848" spans="1:24" x14ac:dyDescent="0.2">
      <c r="A848" t="s">
        <v>13</v>
      </c>
      <c r="B848" t="s">
        <v>19</v>
      </c>
      <c r="C848" t="s">
        <v>34</v>
      </c>
      <c r="D848" t="s">
        <v>85</v>
      </c>
      <c r="E848" t="s">
        <v>293</v>
      </c>
      <c r="F848" t="s">
        <v>754</v>
      </c>
      <c r="H848" t="s">
        <v>1670</v>
      </c>
      <c r="I848" t="s">
        <v>1670</v>
      </c>
      <c r="J848" t="s">
        <v>1674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1</v>
      </c>
      <c r="Q848">
        <f>N848-K848</f>
        <v>0</v>
      </c>
      <c r="R848">
        <f>O848-L848</f>
        <v>0</v>
      </c>
      <c r="S848">
        <f>P848-M848</f>
        <v>0</v>
      </c>
      <c r="T848">
        <v>0</v>
      </c>
      <c r="U848" s="14">
        <v>0</v>
      </c>
      <c r="V848" s="14">
        <v>0</v>
      </c>
      <c r="W848" s="16">
        <v>0</v>
      </c>
      <c r="X848" s="16">
        <v>0</v>
      </c>
    </row>
    <row r="849" spans="1:24" x14ac:dyDescent="0.2">
      <c r="A849" t="s">
        <v>16</v>
      </c>
      <c r="B849" t="s">
        <v>22</v>
      </c>
      <c r="C849" t="s">
        <v>39</v>
      </c>
      <c r="D849" t="s">
        <v>157</v>
      </c>
      <c r="E849" t="s">
        <v>441</v>
      </c>
      <c r="F849" t="s">
        <v>1008</v>
      </c>
      <c r="H849" t="s">
        <v>1670</v>
      </c>
      <c r="I849" t="s">
        <v>1670</v>
      </c>
      <c r="J849" t="s">
        <v>1674</v>
      </c>
      <c r="K849">
        <v>3</v>
      </c>
      <c r="L849">
        <v>0</v>
      </c>
      <c r="M849">
        <v>3</v>
      </c>
      <c r="N849">
        <v>3</v>
      </c>
      <c r="O849">
        <v>0</v>
      </c>
      <c r="P849">
        <v>3</v>
      </c>
      <c r="Q849">
        <f>N849-K849</f>
        <v>0</v>
      </c>
      <c r="R849">
        <f>O849-L849</f>
        <v>0</v>
      </c>
      <c r="S849">
        <f>P849-M849</f>
        <v>0</v>
      </c>
      <c r="T849">
        <v>0</v>
      </c>
      <c r="U849" s="14">
        <v>0</v>
      </c>
      <c r="V849" s="14">
        <v>0</v>
      </c>
      <c r="W849" s="16">
        <v>0</v>
      </c>
      <c r="X849" s="16">
        <v>0</v>
      </c>
    </row>
    <row r="850" spans="1:24" x14ac:dyDescent="0.2">
      <c r="A850" t="s">
        <v>16</v>
      </c>
      <c r="B850" t="s">
        <v>22</v>
      </c>
      <c r="C850" t="s">
        <v>46</v>
      </c>
      <c r="D850" t="s">
        <v>168</v>
      </c>
      <c r="E850" t="s">
        <v>464</v>
      </c>
      <c r="F850" t="s">
        <v>1045</v>
      </c>
      <c r="H850" t="s">
        <v>1670</v>
      </c>
      <c r="I850" t="s">
        <v>1671</v>
      </c>
      <c r="J850" t="s">
        <v>1674</v>
      </c>
      <c r="K850">
        <v>1</v>
      </c>
      <c r="L850">
        <v>0</v>
      </c>
      <c r="M850">
        <v>1</v>
      </c>
      <c r="N850">
        <v>1</v>
      </c>
      <c r="O850">
        <v>0</v>
      </c>
      <c r="P850">
        <v>1</v>
      </c>
      <c r="Q850">
        <f>N850-K850</f>
        <v>0</v>
      </c>
      <c r="R850">
        <f>O850-L850</f>
        <v>0</v>
      </c>
      <c r="S850">
        <f>P850-M850</f>
        <v>0</v>
      </c>
      <c r="T850">
        <v>0</v>
      </c>
      <c r="U850" s="14">
        <v>0</v>
      </c>
      <c r="V850" s="14">
        <v>0</v>
      </c>
      <c r="W850" s="16">
        <v>0</v>
      </c>
      <c r="X850" s="16">
        <v>0</v>
      </c>
    </row>
    <row r="851" spans="1:24" x14ac:dyDescent="0.2">
      <c r="A851" t="s">
        <v>16</v>
      </c>
      <c r="B851" t="s">
        <v>22</v>
      </c>
      <c r="C851" t="s">
        <v>46</v>
      </c>
      <c r="D851" t="s">
        <v>170</v>
      </c>
      <c r="E851" t="s">
        <v>469</v>
      </c>
      <c r="F851" t="s">
        <v>1049</v>
      </c>
      <c r="H851" t="s">
        <v>1670</v>
      </c>
      <c r="I851" t="s">
        <v>1672</v>
      </c>
      <c r="J851" t="s">
        <v>1673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f>N851-K851</f>
        <v>0</v>
      </c>
      <c r="R851">
        <f>O851-L851</f>
        <v>0</v>
      </c>
      <c r="S851">
        <f>P851-M851</f>
        <v>0</v>
      </c>
      <c r="T851">
        <v>0</v>
      </c>
      <c r="U851" s="14">
        <v>0</v>
      </c>
      <c r="V851" s="14">
        <v>0</v>
      </c>
      <c r="W851" s="16">
        <v>0</v>
      </c>
      <c r="X851" s="16">
        <v>0</v>
      </c>
    </row>
    <row r="852" spans="1:24" x14ac:dyDescent="0.2">
      <c r="A852" t="s">
        <v>16</v>
      </c>
      <c r="B852" t="s">
        <v>22</v>
      </c>
      <c r="C852" t="s">
        <v>46</v>
      </c>
      <c r="D852" t="s">
        <v>170</v>
      </c>
      <c r="E852" t="s">
        <v>470</v>
      </c>
      <c r="F852" t="s">
        <v>1050</v>
      </c>
      <c r="H852" t="s">
        <v>1670</v>
      </c>
      <c r="I852" t="s">
        <v>1672</v>
      </c>
      <c r="J852" t="s">
        <v>1673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f>N852-K852</f>
        <v>0</v>
      </c>
      <c r="R852">
        <f>O852-L852</f>
        <v>0</v>
      </c>
      <c r="S852">
        <f>P852-M852</f>
        <v>0</v>
      </c>
      <c r="T852">
        <v>0</v>
      </c>
      <c r="U852" s="14">
        <v>0</v>
      </c>
      <c r="V852" s="14">
        <v>0</v>
      </c>
      <c r="W852" s="16">
        <v>0</v>
      </c>
      <c r="X852" s="16">
        <v>0</v>
      </c>
    </row>
    <row r="853" spans="1:24" x14ac:dyDescent="0.2">
      <c r="A853" t="s">
        <v>17</v>
      </c>
      <c r="B853" t="s">
        <v>20</v>
      </c>
      <c r="C853" t="s">
        <v>33</v>
      </c>
      <c r="D853" t="s">
        <v>87</v>
      </c>
      <c r="E853" t="s">
        <v>297</v>
      </c>
      <c r="F853" t="s">
        <v>1104</v>
      </c>
      <c r="H853" t="s">
        <v>1670</v>
      </c>
      <c r="I853" t="s">
        <v>1670</v>
      </c>
      <c r="J853" t="s">
        <v>1673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f>N853-K853</f>
        <v>0</v>
      </c>
      <c r="R853">
        <f>O853-L853</f>
        <v>0</v>
      </c>
      <c r="S853">
        <f>P853-M853</f>
        <v>0</v>
      </c>
      <c r="T853">
        <v>0</v>
      </c>
      <c r="U853" s="14">
        <v>0</v>
      </c>
      <c r="V853" s="14">
        <v>0</v>
      </c>
      <c r="W853" s="16">
        <v>0</v>
      </c>
      <c r="X853" s="16">
        <v>0</v>
      </c>
    </row>
    <row r="854" spans="1:24" x14ac:dyDescent="0.2">
      <c r="A854" t="s">
        <v>17</v>
      </c>
      <c r="B854" t="s">
        <v>23</v>
      </c>
      <c r="C854" t="s">
        <v>61</v>
      </c>
      <c r="D854" t="s">
        <v>185</v>
      </c>
      <c r="E854" t="s">
        <v>185</v>
      </c>
      <c r="F854" t="s">
        <v>1116</v>
      </c>
      <c r="H854" t="s">
        <v>1670</v>
      </c>
      <c r="I854" t="s">
        <v>1670</v>
      </c>
      <c r="J854" t="s">
        <v>1673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f>N854-K854</f>
        <v>0</v>
      </c>
      <c r="R854">
        <f>O854-L854</f>
        <v>0</v>
      </c>
      <c r="S854">
        <f>P854-M854</f>
        <v>0</v>
      </c>
      <c r="T854">
        <v>0</v>
      </c>
      <c r="U854" s="14">
        <v>0</v>
      </c>
      <c r="V854" s="14">
        <v>0</v>
      </c>
      <c r="W854" s="16">
        <v>0</v>
      </c>
      <c r="X854" s="16">
        <v>0</v>
      </c>
    </row>
    <row r="855" spans="1:24" x14ac:dyDescent="0.2">
      <c r="A855" t="s">
        <v>17</v>
      </c>
      <c r="B855" t="s">
        <v>23</v>
      </c>
      <c r="C855" t="s">
        <v>60</v>
      </c>
      <c r="D855" t="s">
        <v>174</v>
      </c>
      <c r="E855" t="s">
        <v>479</v>
      </c>
      <c r="F855" t="s">
        <v>1066</v>
      </c>
      <c r="H855" t="s">
        <v>1669</v>
      </c>
      <c r="I855" t="s">
        <v>1671</v>
      </c>
      <c r="J855" t="s">
        <v>1674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0</v>
      </c>
      <c r="Q855">
        <f>N855-K855</f>
        <v>-1</v>
      </c>
      <c r="R855">
        <f>O855-L855</f>
        <v>0</v>
      </c>
      <c r="S855">
        <f>P855-M855</f>
        <v>-1</v>
      </c>
      <c r="T855">
        <v>52</v>
      </c>
      <c r="U855" s="14">
        <v>105135.74000000002</v>
      </c>
      <c r="V855" s="14">
        <v>115</v>
      </c>
      <c r="W855" s="16">
        <v>3.3980794901156564E-4</v>
      </c>
      <c r="X855" s="16">
        <v>2.0826843809537609E-4</v>
      </c>
    </row>
    <row r="856" spans="1:24" x14ac:dyDescent="0.2">
      <c r="A856" t="s">
        <v>17</v>
      </c>
      <c r="B856" t="s">
        <v>23</v>
      </c>
      <c r="C856" t="s">
        <v>60</v>
      </c>
      <c r="D856" t="s">
        <v>175</v>
      </c>
      <c r="E856" t="s">
        <v>480</v>
      </c>
      <c r="F856" t="s">
        <v>1068</v>
      </c>
      <c r="H856" t="s">
        <v>1669</v>
      </c>
      <c r="I856" t="s">
        <v>1671</v>
      </c>
      <c r="J856" t="s">
        <v>1674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0</v>
      </c>
      <c r="Q856">
        <f>N856-K856</f>
        <v>-1</v>
      </c>
      <c r="R856">
        <f>O856-L856</f>
        <v>0</v>
      </c>
      <c r="S856">
        <f>P856-M856</f>
        <v>-1</v>
      </c>
      <c r="T856">
        <v>796</v>
      </c>
      <c r="U856" s="14">
        <v>1008450.7800000003</v>
      </c>
      <c r="V856" s="14">
        <v>909</v>
      </c>
      <c r="W856" s="16">
        <v>3.259401524456989E-3</v>
      </c>
      <c r="X856" s="16">
        <v>1.6462261759017118E-3</v>
      </c>
    </row>
    <row r="857" spans="1:24" x14ac:dyDescent="0.2">
      <c r="A857" t="s">
        <v>17</v>
      </c>
      <c r="B857" t="s">
        <v>24</v>
      </c>
      <c r="C857" t="s">
        <v>49</v>
      </c>
      <c r="D857" t="s">
        <v>152</v>
      </c>
      <c r="E857" t="s">
        <v>482</v>
      </c>
      <c r="F857" t="s">
        <v>1071</v>
      </c>
      <c r="H857" t="s">
        <v>1669</v>
      </c>
      <c r="I857" t="s">
        <v>1671</v>
      </c>
      <c r="J857" t="s">
        <v>1674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0</v>
      </c>
      <c r="Q857">
        <f>N857-K857</f>
        <v>-1</v>
      </c>
      <c r="R857">
        <f>O857-L857</f>
        <v>0</v>
      </c>
      <c r="S857">
        <f>P857-M857</f>
        <v>-1</v>
      </c>
      <c r="T857">
        <v>6</v>
      </c>
      <c r="U857" s="14">
        <v>50021.94</v>
      </c>
      <c r="V857" s="14">
        <v>35</v>
      </c>
      <c r="W857" s="16">
        <v>1.6167530505781949E-4</v>
      </c>
      <c r="X857" s="16">
        <v>6.338604637685359E-5</v>
      </c>
    </row>
    <row r="858" spans="1:24" x14ac:dyDescent="0.2">
      <c r="A858" t="s">
        <v>17</v>
      </c>
      <c r="B858" t="s">
        <v>24</v>
      </c>
      <c r="C858" t="s">
        <v>49</v>
      </c>
      <c r="D858" t="s">
        <v>152</v>
      </c>
      <c r="E858" t="s">
        <v>484</v>
      </c>
      <c r="F858" t="s">
        <v>1083</v>
      </c>
      <c r="H858" t="s">
        <v>1669</v>
      </c>
      <c r="I858" t="s">
        <v>1671</v>
      </c>
      <c r="J858" t="s">
        <v>1674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f>N858-K858</f>
        <v>-1</v>
      </c>
      <c r="R858">
        <f>O858-L858</f>
        <v>0</v>
      </c>
      <c r="S858">
        <f>P858-M858</f>
        <v>-1</v>
      </c>
      <c r="T858">
        <v>9</v>
      </c>
      <c r="U858" s="14">
        <v>73438.030000000013</v>
      </c>
      <c r="V858" s="14">
        <v>168</v>
      </c>
      <c r="W858" s="16">
        <v>2.3735816529897282E-4</v>
      </c>
      <c r="X858" s="16">
        <v>3.0425302260889722E-4</v>
      </c>
    </row>
    <row r="859" spans="1:24" x14ac:dyDescent="0.2">
      <c r="A859" t="s">
        <v>17</v>
      </c>
      <c r="B859" t="s">
        <v>24</v>
      </c>
      <c r="C859" t="s">
        <v>49</v>
      </c>
      <c r="D859" t="s">
        <v>133</v>
      </c>
      <c r="E859" t="s">
        <v>489</v>
      </c>
      <c r="F859" t="s">
        <v>1090</v>
      </c>
      <c r="H859" t="s">
        <v>1669</v>
      </c>
      <c r="I859" t="s">
        <v>1670</v>
      </c>
      <c r="J859" t="s">
        <v>1674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0</v>
      </c>
      <c r="Q859">
        <f>N859-K859</f>
        <v>-1</v>
      </c>
      <c r="R859">
        <f>O859-L859</f>
        <v>0</v>
      </c>
      <c r="S859">
        <f>P859-M859</f>
        <v>-1</v>
      </c>
      <c r="T859">
        <v>0</v>
      </c>
      <c r="U859" s="14">
        <v>0</v>
      </c>
      <c r="V859" s="14">
        <v>0</v>
      </c>
      <c r="W859" s="16">
        <v>0</v>
      </c>
      <c r="X859" s="16">
        <v>0</v>
      </c>
    </row>
    <row r="860" spans="1:24" x14ac:dyDescent="0.2">
      <c r="A860" t="s">
        <v>17</v>
      </c>
      <c r="B860" t="s">
        <v>24</v>
      </c>
      <c r="C860" t="s">
        <v>49</v>
      </c>
      <c r="D860" t="s">
        <v>133</v>
      </c>
      <c r="E860" t="s">
        <v>489</v>
      </c>
      <c r="F860" t="s">
        <v>1093</v>
      </c>
      <c r="H860" t="s">
        <v>1669</v>
      </c>
      <c r="I860" t="s">
        <v>1670</v>
      </c>
      <c r="J860" t="s">
        <v>1674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f>N860-K860</f>
        <v>-1</v>
      </c>
      <c r="R860">
        <f>O860-L860</f>
        <v>0</v>
      </c>
      <c r="S860">
        <f>P860-M860</f>
        <v>-1</v>
      </c>
      <c r="T860">
        <v>4</v>
      </c>
      <c r="U860" s="14">
        <v>11832</v>
      </c>
      <c r="V860" s="14">
        <v>14</v>
      </c>
      <c r="W860" s="16">
        <v>3.8242063571387274E-5</v>
      </c>
      <c r="X860" s="16">
        <v>2.5354418550741437E-5</v>
      </c>
    </row>
    <row r="861" spans="1:24" x14ac:dyDescent="0.2">
      <c r="A861" t="s">
        <v>17</v>
      </c>
      <c r="B861" s="35" t="s">
        <v>19</v>
      </c>
      <c r="C861" t="s">
        <v>42</v>
      </c>
      <c r="D861" t="s">
        <v>113</v>
      </c>
      <c r="E861" t="s">
        <v>356</v>
      </c>
      <c r="F861" t="s">
        <v>1349</v>
      </c>
      <c r="H861" t="s">
        <v>1670</v>
      </c>
      <c r="I861" t="s">
        <v>1671</v>
      </c>
      <c r="J861" t="s">
        <v>1673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f>N861-K861</f>
        <v>0</v>
      </c>
      <c r="R861">
        <f>O861-L861</f>
        <v>0</v>
      </c>
      <c r="S861">
        <f>P861-M861</f>
        <v>0</v>
      </c>
      <c r="T861">
        <v>0</v>
      </c>
      <c r="U861" s="14">
        <v>0</v>
      </c>
      <c r="V861" s="14">
        <v>0</v>
      </c>
      <c r="W861" s="16">
        <v>0</v>
      </c>
      <c r="X861" s="16">
        <v>0</v>
      </c>
    </row>
    <row r="862" spans="1:24" x14ac:dyDescent="0.2">
      <c r="A862" t="s">
        <v>17</v>
      </c>
      <c r="B862" t="s">
        <v>23</v>
      </c>
      <c r="C862" t="s">
        <v>61</v>
      </c>
      <c r="D862" t="s">
        <v>182</v>
      </c>
      <c r="E862" t="s">
        <v>501</v>
      </c>
      <c r="F862" t="s">
        <v>1110</v>
      </c>
      <c r="H862" t="s">
        <v>1669</v>
      </c>
      <c r="I862" t="s">
        <v>1671</v>
      </c>
      <c r="J862" t="s">
        <v>1674</v>
      </c>
      <c r="K862">
        <v>2</v>
      </c>
      <c r="L862">
        <v>0</v>
      </c>
      <c r="M862">
        <v>2</v>
      </c>
      <c r="N862">
        <v>1</v>
      </c>
      <c r="O862">
        <v>0</v>
      </c>
      <c r="P862">
        <v>1</v>
      </c>
      <c r="Q862">
        <f>N862-K862</f>
        <v>-1</v>
      </c>
      <c r="R862">
        <f>O862-L862</f>
        <v>0</v>
      </c>
      <c r="S862">
        <f>P862-M862</f>
        <v>-1</v>
      </c>
      <c r="T862">
        <v>6</v>
      </c>
      <c r="U862" s="14">
        <v>8179.86</v>
      </c>
      <c r="V862" s="14">
        <v>41</v>
      </c>
      <c r="W862" s="16">
        <v>2.6438026210703845E-5</v>
      </c>
      <c r="X862" s="16">
        <v>7.4252225755742774E-5</v>
      </c>
    </row>
    <row r="863" spans="1:24" x14ac:dyDescent="0.2">
      <c r="A863" t="s">
        <v>17</v>
      </c>
      <c r="B863" t="s">
        <v>23</v>
      </c>
      <c r="C863" t="s">
        <v>61</v>
      </c>
      <c r="D863" t="s">
        <v>182</v>
      </c>
      <c r="E863" t="s">
        <v>502</v>
      </c>
      <c r="F863" t="s">
        <v>1111</v>
      </c>
      <c r="H863" t="s">
        <v>1669</v>
      </c>
      <c r="I863" t="s">
        <v>1671</v>
      </c>
      <c r="J863" t="s">
        <v>1674</v>
      </c>
      <c r="K863">
        <v>1</v>
      </c>
      <c r="L863">
        <v>0</v>
      </c>
      <c r="M863">
        <v>1</v>
      </c>
      <c r="N863">
        <v>0</v>
      </c>
      <c r="O863">
        <v>0</v>
      </c>
      <c r="P863">
        <v>0</v>
      </c>
      <c r="Q863">
        <f>N863-K863</f>
        <v>-1</v>
      </c>
      <c r="R863">
        <f>O863-L863</f>
        <v>0</v>
      </c>
      <c r="S863">
        <f>P863-M863</f>
        <v>-1</v>
      </c>
      <c r="T863">
        <v>26</v>
      </c>
      <c r="U863" s="14">
        <v>228932.19999999998</v>
      </c>
      <c r="V863" s="14">
        <v>184</v>
      </c>
      <c r="W863" s="16">
        <v>7.3992898461270663E-4</v>
      </c>
      <c r="X863" s="16">
        <v>3.3322950095260171E-4</v>
      </c>
    </row>
    <row r="864" spans="1:24" x14ac:dyDescent="0.2">
      <c r="A864" t="s">
        <v>17</v>
      </c>
      <c r="B864" t="s">
        <v>23</v>
      </c>
      <c r="C864" t="s">
        <v>61</v>
      </c>
      <c r="D864" t="s">
        <v>183</v>
      </c>
      <c r="E864" t="s">
        <v>503</v>
      </c>
      <c r="F864" t="s">
        <v>1113</v>
      </c>
      <c r="H864" t="s">
        <v>1669</v>
      </c>
      <c r="I864" t="s">
        <v>1671</v>
      </c>
      <c r="J864" t="s">
        <v>1674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0</v>
      </c>
      <c r="Q864">
        <f>N864-K864</f>
        <v>-1</v>
      </c>
      <c r="R864">
        <f>O864-L864</f>
        <v>0</v>
      </c>
      <c r="S864">
        <f>P864-M864</f>
        <v>-1</v>
      </c>
      <c r="T864">
        <v>44</v>
      </c>
      <c r="U864" s="14">
        <v>115253.13999999996</v>
      </c>
      <c r="V864" s="14">
        <v>79</v>
      </c>
      <c r="W864" s="16">
        <v>3.7250827473647702E-4</v>
      </c>
      <c r="X864" s="16">
        <v>1.4307136182204096E-4</v>
      </c>
    </row>
    <row r="865" spans="1:24" x14ac:dyDescent="0.2">
      <c r="A865" t="s">
        <v>14</v>
      </c>
      <c r="B865" s="35" t="s">
        <v>19</v>
      </c>
      <c r="C865" t="s">
        <v>27</v>
      </c>
      <c r="D865" t="s">
        <v>210</v>
      </c>
      <c r="E865" t="s">
        <v>596</v>
      </c>
      <c r="F865" t="s">
        <v>1352</v>
      </c>
      <c r="H865" t="s">
        <v>1670</v>
      </c>
      <c r="I865" t="s">
        <v>1670</v>
      </c>
      <c r="J865" t="s">
        <v>1673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f>N865-K865</f>
        <v>0</v>
      </c>
      <c r="R865">
        <f>O865-L865</f>
        <v>0</v>
      </c>
      <c r="S865">
        <f>P865-M865</f>
        <v>0</v>
      </c>
      <c r="T865">
        <v>0</v>
      </c>
      <c r="U865" s="14">
        <v>0</v>
      </c>
      <c r="V865" s="14">
        <v>0</v>
      </c>
      <c r="W865" s="16">
        <v>0</v>
      </c>
      <c r="X865" s="16">
        <v>0</v>
      </c>
    </row>
    <row r="866" spans="1:24" x14ac:dyDescent="0.2">
      <c r="A866" t="s">
        <v>14</v>
      </c>
      <c r="B866" s="35" t="s">
        <v>19</v>
      </c>
      <c r="C866" t="s">
        <v>52</v>
      </c>
      <c r="D866" t="s">
        <v>140</v>
      </c>
      <c r="E866" t="s">
        <v>510</v>
      </c>
      <c r="F866" t="s">
        <v>1356</v>
      </c>
      <c r="H866" t="s">
        <v>1670</v>
      </c>
      <c r="I866" t="s">
        <v>1670</v>
      </c>
      <c r="J866" t="s">
        <v>1674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f>N866-K866</f>
        <v>0</v>
      </c>
      <c r="R866">
        <f>O866-L866</f>
        <v>0</v>
      </c>
      <c r="S866">
        <f>P866-M866</f>
        <v>0</v>
      </c>
      <c r="T866">
        <v>0</v>
      </c>
      <c r="U866" s="14">
        <v>0</v>
      </c>
      <c r="V866" s="14">
        <v>0</v>
      </c>
      <c r="W866" s="16">
        <v>0</v>
      </c>
      <c r="X866" s="16">
        <v>0</v>
      </c>
    </row>
    <row r="867" spans="1:24" x14ac:dyDescent="0.2">
      <c r="A867" t="s">
        <v>16</v>
      </c>
      <c r="B867" s="2" t="s">
        <v>22</v>
      </c>
      <c r="C867" s="2" t="s">
        <v>39</v>
      </c>
      <c r="D867" s="2" t="s">
        <v>155</v>
      </c>
      <c r="E867" s="2" t="s">
        <v>445</v>
      </c>
      <c r="F867" s="2" t="s">
        <v>1684</v>
      </c>
      <c r="G867" s="2"/>
      <c r="H867" t="s">
        <v>1669</v>
      </c>
      <c r="I867" s="3">
        <v>0</v>
      </c>
      <c r="J867" t="s">
        <v>1674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>
        <f>N867-K867</f>
        <v>-1</v>
      </c>
      <c r="R867">
        <f>O867-L867</f>
        <v>0</v>
      </c>
      <c r="S867">
        <f>P867-M867</f>
        <v>-1</v>
      </c>
      <c r="T867">
        <v>32</v>
      </c>
      <c r="U867" s="14">
        <v>803429.10999999975</v>
      </c>
      <c r="V867" s="14">
        <v>461</v>
      </c>
      <c r="W867" s="16">
        <v>2.5967534736074283E-3</v>
      </c>
      <c r="X867" s="16">
        <v>8.3488478227798581E-4</v>
      </c>
    </row>
    <row r="868" spans="1:24" x14ac:dyDescent="0.2">
      <c r="A868" t="s">
        <v>16</v>
      </c>
      <c r="B868" s="2" t="s">
        <v>22</v>
      </c>
      <c r="C868" s="2" t="s">
        <v>39</v>
      </c>
      <c r="D868" s="2" t="s">
        <v>157</v>
      </c>
      <c r="E868" s="2" t="s">
        <v>442</v>
      </c>
      <c r="F868" s="2" t="s">
        <v>1685</v>
      </c>
      <c r="G868" s="2"/>
      <c r="H868" t="s">
        <v>1669</v>
      </c>
      <c r="I868" s="3">
        <v>0</v>
      </c>
      <c r="J868" t="s">
        <v>1674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>
        <f>N868-K868</f>
        <v>-1</v>
      </c>
      <c r="R868">
        <f>O868-L868</f>
        <v>0</v>
      </c>
      <c r="S868">
        <f>P868-M868</f>
        <v>-1</v>
      </c>
      <c r="T868">
        <v>0</v>
      </c>
      <c r="U868" s="14">
        <v>0</v>
      </c>
      <c r="V868" s="14">
        <v>0</v>
      </c>
      <c r="W868" s="16">
        <v>0</v>
      </c>
      <c r="X868" s="16">
        <v>0</v>
      </c>
    </row>
    <row r="869" spans="1:24" x14ac:dyDescent="0.2">
      <c r="A869" t="s">
        <v>16</v>
      </c>
      <c r="B869" s="2" t="s">
        <v>22</v>
      </c>
      <c r="C869" s="2" t="s">
        <v>39</v>
      </c>
      <c r="D869" s="2" t="s">
        <v>157</v>
      </c>
      <c r="E869" s="2" t="s">
        <v>442</v>
      </c>
      <c r="F869" s="2" t="s">
        <v>1687</v>
      </c>
      <c r="G869" s="2"/>
      <c r="H869" t="s">
        <v>1669</v>
      </c>
      <c r="I869" s="3">
        <v>0</v>
      </c>
      <c r="J869" t="s">
        <v>1674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f>N869-K869</f>
        <v>-1</v>
      </c>
      <c r="R869">
        <f>O869-L869</f>
        <v>0</v>
      </c>
      <c r="S869">
        <f>P869-M869</f>
        <v>-1</v>
      </c>
      <c r="T869">
        <v>0</v>
      </c>
      <c r="U869" s="14">
        <v>0</v>
      </c>
      <c r="V869" s="14">
        <v>0</v>
      </c>
      <c r="W869" s="16">
        <v>0</v>
      </c>
      <c r="X869" s="16">
        <v>0</v>
      </c>
    </row>
    <row r="870" spans="1:24" x14ac:dyDescent="0.2">
      <c r="A870" t="s">
        <v>17</v>
      </c>
      <c r="B870" t="s">
        <v>24</v>
      </c>
      <c r="C870" t="s">
        <v>49</v>
      </c>
      <c r="D870" t="s">
        <v>178</v>
      </c>
      <c r="E870" t="s">
        <v>671</v>
      </c>
      <c r="F870" t="s">
        <v>1692</v>
      </c>
      <c r="H870" t="s">
        <v>1669</v>
      </c>
      <c r="I870" s="3">
        <v>0</v>
      </c>
      <c r="J870" t="s">
        <v>1674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0</v>
      </c>
      <c r="Q870">
        <f>N870-K870</f>
        <v>-1</v>
      </c>
      <c r="R870">
        <f>O870-L870</f>
        <v>0</v>
      </c>
      <c r="S870">
        <f>P870-M870</f>
        <v>-1</v>
      </c>
      <c r="T870">
        <v>0</v>
      </c>
      <c r="U870" s="14">
        <v>0</v>
      </c>
      <c r="V870" s="14">
        <v>0</v>
      </c>
      <c r="W870" s="16">
        <v>0</v>
      </c>
      <c r="X870" s="16">
        <v>0</v>
      </c>
    </row>
    <row r="871" spans="1:24" x14ac:dyDescent="0.2">
      <c r="A871" t="s">
        <v>17</v>
      </c>
      <c r="B871" t="s">
        <v>24</v>
      </c>
      <c r="C871" t="s">
        <v>49</v>
      </c>
      <c r="D871" t="s">
        <v>133</v>
      </c>
      <c r="E871" t="s">
        <v>488</v>
      </c>
      <c r="F871" t="s">
        <v>1693</v>
      </c>
      <c r="H871" t="s">
        <v>1669</v>
      </c>
      <c r="I871" s="3">
        <v>0</v>
      </c>
      <c r="J871" t="s">
        <v>1674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f>N871-K871</f>
        <v>-1</v>
      </c>
      <c r="R871">
        <f>O871-L871</f>
        <v>0</v>
      </c>
      <c r="S871">
        <f>P871-M871</f>
        <v>-1</v>
      </c>
      <c r="T871">
        <v>11</v>
      </c>
      <c r="U871" s="14">
        <v>18765</v>
      </c>
      <c r="V871" s="14">
        <v>31</v>
      </c>
      <c r="W871" s="16">
        <v>6.0650128711720946E-5</v>
      </c>
      <c r="X871" s="16">
        <v>5.6141926790927467E-5</v>
      </c>
    </row>
    <row r="872" spans="1:24" x14ac:dyDescent="0.2">
      <c r="A872" t="s">
        <v>15</v>
      </c>
      <c r="B872" t="s">
        <v>24</v>
      </c>
      <c r="C872" t="s">
        <v>58</v>
      </c>
      <c r="D872" t="s">
        <v>150</v>
      </c>
      <c r="E872" t="s">
        <v>425</v>
      </c>
      <c r="F872" t="s">
        <v>974</v>
      </c>
      <c r="H872" t="s">
        <v>1669</v>
      </c>
      <c r="I872" t="s">
        <v>1670</v>
      </c>
      <c r="J872" t="s">
        <v>1674</v>
      </c>
      <c r="K872">
        <v>3</v>
      </c>
      <c r="L872">
        <v>1</v>
      </c>
      <c r="M872">
        <v>4</v>
      </c>
      <c r="N872">
        <v>3</v>
      </c>
      <c r="O872">
        <v>0</v>
      </c>
      <c r="P872">
        <v>3</v>
      </c>
      <c r="Q872">
        <f>N872-K872</f>
        <v>0</v>
      </c>
      <c r="R872">
        <f>O872-L872</f>
        <v>-1</v>
      </c>
      <c r="S872">
        <f>P872-M872</f>
        <v>-1</v>
      </c>
      <c r="T872">
        <v>2</v>
      </c>
      <c r="U872" s="14">
        <v>1426</v>
      </c>
      <c r="V872" s="14">
        <v>2</v>
      </c>
      <c r="W872" s="16">
        <v>4.608957289790251E-6</v>
      </c>
      <c r="X872" s="16">
        <v>3.6220597929630623E-6</v>
      </c>
    </row>
    <row r="873" spans="1:24" x14ac:dyDescent="0.2">
      <c r="A873" t="s">
        <v>16</v>
      </c>
      <c r="B873" t="s">
        <v>22</v>
      </c>
      <c r="C873" t="s">
        <v>39</v>
      </c>
      <c r="D873" t="s">
        <v>155</v>
      </c>
      <c r="E873" t="s">
        <v>444</v>
      </c>
      <c r="F873" t="s">
        <v>1015</v>
      </c>
      <c r="H873" t="s">
        <v>1669</v>
      </c>
      <c r="I873" t="s">
        <v>1670</v>
      </c>
      <c r="J873" t="s">
        <v>1674</v>
      </c>
      <c r="K873">
        <v>2</v>
      </c>
      <c r="L873">
        <v>2</v>
      </c>
      <c r="M873">
        <v>4</v>
      </c>
      <c r="N873">
        <v>2</v>
      </c>
      <c r="O873">
        <v>1</v>
      </c>
      <c r="P873">
        <v>3</v>
      </c>
      <c r="Q873">
        <f>N873-K873</f>
        <v>0</v>
      </c>
      <c r="R873">
        <f>O873-L873</f>
        <v>-1</v>
      </c>
      <c r="S873">
        <f>P873-M873</f>
        <v>-1</v>
      </c>
      <c r="T873">
        <v>17</v>
      </c>
      <c r="U873" s="14">
        <v>114591.20999999999</v>
      </c>
      <c r="V873" s="14">
        <v>149</v>
      </c>
      <c r="W873" s="16">
        <v>3.7036885881864341E-4</v>
      </c>
      <c r="X873" s="16">
        <v>2.6984345457574816E-4</v>
      </c>
    </row>
    <row r="874" spans="1:24" x14ac:dyDescent="0.2">
      <c r="A874" t="s">
        <v>17</v>
      </c>
      <c r="B874" t="s">
        <v>24</v>
      </c>
      <c r="C874" t="s">
        <v>49</v>
      </c>
      <c r="D874" t="s">
        <v>152</v>
      </c>
      <c r="E874" t="s">
        <v>484</v>
      </c>
      <c r="F874" t="s">
        <v>1082</v>
      </c>
      <c r="H874" t="s">
        <v>1669</v>
      </c>
      <c r="I874" t="s">
        <v>1671</v>
      </c>
      <c r="J874" t="s">
        <v>1674</v>
      </c>
      <c r="K874">
        <v>2</v>
      </c>
      <c r="L874">
        <v>1</v>
      </c>
      <c r="M874">
        <v>3</v>
      </c>
      <c r="N874">
        <v>2</v>
      </c>
      <c r="O874">
        <v>0</v>
      </c>
      <c r="P874">
        <v>2</v>
      </c>
      <c r="Q874">
        <f>N874-K874</f>
        <v>0</v>
      </c>
      <c r="R874">
        <f>O874-L874</f>
        <v>-1</v>
      </c>
      <c r="S874">
        <f>P874-M874</f>
        <v>-1</v>
      </c>
      <c r="T874">
        <v>44</v>
      </c>
      <c r="U874" s="14">
        <v>89739.55</v>
      </c>
      <c r="V874" s="14">
        <v>218</v>
      </c>
      <c r="W874" s="16">
        <v>2.9004611020687013E-4</v>
      </c>
      <c r="X874" s="16">
        <v>3.9480451743297376E-4</v>
      </c>
    </row>
    <row r="875" spans="1:24" x14ac:dyDescent="0.2">
      <c r="A875" t="s">
        <v>17</v>
      </c>
      <c r="B875" t="s">
        <v>24</v>
      </c>
      <c r="C875" t="s">
        <v>49</v>
      </c>
      <c r="D875" t="s">
        <v>152</v>
      </c>
      <c r="E875" t="s">
        <v>482</v>
      </c>
      <c r="F875" t="s">
        <v>1139</v>
      </c>
      <c r="H875" t="s">
        <v>1669</v>
      </c>
      <c r="I875" t="s">
        <v>1671</v>
      </c>
      <c r="J875" t="s">
        <v>1674</v>
      </c>
      <c r="K875">
        <v>0</v>
      </c>
      <c r="L875">
        <v>1</v>
      </c>
      <c r="M875">
        <v>1</v>
      </c>
      <c r="N875">
        <v>0</v>
      </c>
      <c r="O875">
        <v>0</v>
      </c>
      <c r="P875">
        <v>0</v>
      </c>
      <c r="Q875">
        <f>N875-K875</f>
        <v>0</v>
      </c>
      <c r="R875">
        <f>O875-L875</f>
        <v>-1</v>
      </c>
      <c r="S875">
        <f>P875-M875</f>
        <v>-1</v>
      </c>
      <c r="T875">
        <v>122</v>
      </c>
      <c r="U875" s="14">
        <v>1737199.67</v>
      </c>
      <c r="V875" s="14">
        <v>883</v>
      </c>
      <c r="W875" s="16">
        <v>5.6147819655453851E-3</v>
      </c>
      <c r="X875" s="16">
        <v>1.5991393985931919E-3</v>
      </c>
    </row>
    <row r="876" spans="1:24" x14ac:dyDescent="0.2">
      <c r="A876" t="s">
        <v>13</v>
      </c>
      <c r="B876" t="s">
        <v>20</v>
      </c>
      <c r="C876" t="s">
        <v>31</v>
      </c>
      <c r="D876" t="s">
        <v>82</v>
      </c>
      <c r="E876" t="s">
        <v>316</v>
      </c>
      <c r="F876" t="s">
        <v>1143</v>
      </c>
      <c r="H876" t="s">
        <v>1669</v>
      </c>
      <c r="I876" t="s">
        <v>1670</v>
      </c>
      <c r="J876" t="s">
        <v>1674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</v>
      </c>
      <c r="Q876">
        <f>N876-K876</f>
        <v>0</v>
      </c>
      <c r="R876">
        <f>O876-L876</f>
        <v>-1</v>
      </c>
      <c r="S876">
        <f>P876-M876</f>
        <v>-1</v>
      </c>
      <c r="T876">
        <v>1</v>
      </c>
      <c r="U876" s="14">
        <v>831</v>
      </c>
      <c r="V876" s="14">
        <v>5</v>
      </c>
      <c r="W876" s="16">
        <v>2.6858650124934773E-6</v>
      </c>
      <c r="X876" s="16">
        <v>9.0551494824076554E-6</v>
      </c>
    </row>
    <row r="877" spans="1:24" x14ac:dyDescent="0.2">
      <c r="A877" t="s">
        <v>12</v>
      </c>
      <c r="B877" t="s">
        <v>18</v>
      </c>
      <c r="C877" t="s">
        <v>32</v>
      </c>
      <c r="D877" t="s">
        <v>83</v>
      </c>
      <c r="E877" t="s">
        <v>61</v>
      </c>
      <c r="F877" t="s">
        <v>1144</v>
      </c>
      <c r="H877" t="s">
        <v>1669</v>
      </c>
      <c r="I877" t="s">
        <v>1670</v>
      </c>
      <c r="J877" t="s">
        <v>1674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f>N877-K877</f>
        <v>0</v>
      </c>
      <c r="R877">
        <f>O877-L877</f>
        <v>-1</v>
      </c>
      <c r="S877">
        <f>P877-M877</f>
        <v>-1</v>
      </c>
      <c r="T877">
        <v>59</v>
      </c>
      <c r="U877" s="14">
        <v>16125.47</v>
      </c>
      <c r="V877" s="14">
        <v>133</v>
      </c>
      <c r="W877" s="16">
        <v>5.2118935839967746E-5</v>
      </c>
      <c r="X877" s="16">
        <v>2.4086697623204364E-4</v>
      </c>
    </row>
    <row r="878" spans="1:24" x14ac:dyDescent="0.2">
      <c r="A878" t="s">
        <v>15</v>
      </c>
      <c r="B878" t="s">
        <v>24</v>
      </c>
      <c r="C878" t="s">
        <v>49</v>
      </c>
      <c r="D878" t="s">
        <v>152</v>
      </c>
      <c r="E878" t="s">
        <v>482</v>
      </c>
      <c r="F878" t="s">
        <v>1158</v>
      </c>
      <c r="H878" t="s">
        <v>1669</v>
      </c>
      <c r="I878" t="s">
        <v>1670</v>
      </c>
      <c r="J878" t="s">
        <v>1674</v>
      </c>
      <c r="K878">
        <v>0</v>
      </c>
      <c r="L878">
        <v>1</v>
      </c>
      <c r="M878">
        <v>1</v>
      </c>
      <c r="N878">
        <v>0</v>
      </c>
      <c r="O878">
        <v>0</v>
      </c>
      <c r="P878">
        <v>0</v>
      </c>
      <c r="Q878">
        <f>N878-K878</f>
        <v>0</v>
      </c>
      <c r="R878">
        <f>O878-L878</f>
        <v>-1</v>
      </c>
      <c r="S878">
        <f>P878-M878</f>
        <v>-1</v>
      </c>
      <c r="T878">
        <v>2</v>
      </c>
      <c r="U878" s="14">
        <v>554</v>
      </c>
      <c r="V878" s="14">
        <v>5</v>
      </c>
      <c r="W878" s="16">
        <v>1.7905766749956516E-6</v>
      </c>
      <c r="X878" s="16">
        <v>9.0551494824076554E-6</v>
      </c>
    </row>
    <row r="879" spans="1:24" x14ac:dyDescent="0.2">
      <c r="A879" t="s">
        <v>13</v>
      </c>
      <c r="B879" t="s">
        <v>21</v>
      </c>
      <c r="C879" t="s">
        <v>35</v>
      </c>
      <c r="D879" t="s">
        <v>192</v>
      </c>
      <c r="E879" t="s">
        <v>532</v>
      </c>
      <c r="F879" t="s">
        <v>1159</v>
      </c>
      <c r="H879" t="s">
        <v>1669</v>
      </c>
      <c r="I879" t="s">
        <v>1670</v>
      </c>
      <c r="J879" t="s">
        <v>1674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0</v>
      </c>
      <c r="Q879">
        <f>N879-K879</f>
        <v>0</v>
      </c>
      <c r="R879">
        <f>O879-L879</f>
        <v>-1</v>
      </c>
      <c r="S879">
        <f>P879-M879</f>
        <v>-1</v>
      </c>
      <c r="T879">
        <v>30</v>
      </c>
      <c r="U879" s="14">
        <v>429271.11000000004</v>
      </c>
      <c r="V879" s="14">
        <v>393</v>
      </c>
      <c r="W879" s="16">
        <v>1.3874419437102756E-3</v>
      </c>
      <c r="X879" s="16">
        <v>7.1173474931724172E-4</v>
      </c>
    </row>
    <row r="880" spans="1:24" x14ac:dyDescent="0.2">
      <c r="A880" t="s">
        <v>15</v>
      </c>
      <c r="B880" t="s">
        <v>24</v>
      </c>
      <c r="C880" t="s">
        <v>58</v>
      </c>
      <c r="D880" t="s">
        <v>148</v>
      </c>
      <c r="E880" t="s">
        <v>406</v>
      </c>
      <c r="F880" t="s">
        <v>1186</v>
      </c>
      <c r="H880" t="s">
        <v>1669</v>
      </c>
      <c r="I880" t="s">
        <v>1670</v>
      </c>
      <c r="J880" t="s">
        <v>1674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f>N880-K880</f>
        <v>0</v>
      </c>
      <c r="R880">
        <f>O880-L880</f>
        <v>-1</v>
      </c>
      <c r="S880">
        <f>P880-M880</f>
        <v>-1</v>
      </c>
      <c r="T880">
        <v>5</v>
      </c>
      <c r="U880" s="14">
        <v>7049.61</v>
      </c>
      <c r="V880" s="14">
        <v>56</v>
      </c>
      <c r="W880" s="16">
        <v>2.2784958905805227E-5</v>
      </c>
      <c r="X880" s="16">
        <v>1.0141767420296575E-4</v>
      </c>
    </row>
    <row r="881" spans="1:24" x14ac:dyDescent="0.2">
      <c r="A881" t="s">
        <v>17</v>
      </c>
      <c r="B881" t="s">
        <v>24</v>
      </c>
      <c r="C881" t="s">
        <v>49</v>
      </c>
      <c r="D881" t="s">
        <v>152</v>
      </c>
      <c r="E881" t="s">
        <v>486</v>
      </c>
      <c r="F881" t="s">
        <v>1189</v>
      </c>
      <c r="H881" t="s">
        <v>1669</v>
      </c>
      <c r="I881" t="s">
        <v>1670</v>
      </c>
      <c r="J881" t="s">
        <v>1674</v>
      </c>
      <c r="K881">
        <v>0</v>
      </c>
      <c r="L881">
        <v>1</v>
      </c>
      <c r="M881">
        <v>1</v>
      </c>
      <c r="N881">
        <v>0</v>
      </c>
      <c r="O881">
        <v>0</v>
      </c>
      <c r="P881">
        <v>0</v>
      </c>
      <c r="Q881">
        <f>N881-K881</f>
        <v>0</v>
      </c>
      <c r="R881">
        <f>O881-L881</f>
        <v>-1</v>
      </c>
      <c r="S881">
        <f>P881-M881</f>
        <v>-1</v>
      </c>
      <c r="T881">
        <v>160</v>
      </c>
      <c r="U881" s="14">
        <v>257338.19999999998</v>
      </c>
      <c r="V881" s="14">
        <v>779</v>
      </c>
      <c r="W881" s="16">
        <v>8.3173967239235736E-4</v>
      </c>
      <c r="X881" s="16">
        <v>1.4107922893591127E-3</v>
      </c>
    </row>
    <row r="882" spans="1:24" x14ac:dyDescent="0.2">
      <c r="A882" t="s">
        <v>13</v>
      </c>
      <c r="B882" t="s">
        <v>20</v>
      </c>
      <c r="C882" t="s">
        <v>38</v>
      </c>
      <c r="D882" t="s">
        <v>104</v>
      </c>
      <c r="E882" t="s">
        <v>340</v>
      </c>
      <c r="F882" t="s">
        <v>1191</v>
      </c>
      <c r="H882" t="s">
        <v>1669</v>
      </c>
      <c r="I882" t="s">
        <v>1670</v>
      </c>
      <c r="J882" t="s">
        <v>1674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f>N882-K882</f>
        <v>0</v>
      </c>
      <c r="R882">
        <f>O882-L882</f>
        <v>-1</v>
      </c>
      <c r="S882">
        <f>P882-M882</f>
        <v>-1</v>
      </c>
      <c r="T882">
        <v>2</v>
      </c>
      <c r="U882" s="14">
        <v>6324.34</v>
      </c>
      <c r="V882" s="14">
        <v>171</v>
      </c>
      <c r="W882" s="16">
        <v>2.0440822542855595E-5</v>
      </c>
      <c r="X882" s="16">
        <v>3.0968611229834184E-4</v>
      </c>
    </row>
    <row r="883" spans="1:24" x14ac:dyDescent="0.2">
      <c r="A883" t="s">
        <v>16</v>
      </c>
      <c r="B883" t="s">
        <v>22</v>
      </c>
      <c r="C883" t="s">
        <v>59</v>
      </c>
      <c r="D883" t="s">
        <v>172</v>
      </c>
      <c r="E883" t="s">
        <v>473</v>
      </c>
      <c r="F883" t="s">
        <v>1195</v>
      </c>
      <c r="H883" t="s">
        <v>1669</v>
      </c>
      <c r="I883" t="s">
        <v>1670</v>
      </c>
      <c r="J883" t="s">
        <v>1674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f>N883-K883</f>
        <v>0</v>
      </c>
      <c r="R883">
        <f>O883-L883</f>
        <v>-1</v>
      </c>
      <c r="S883">
        <f>P883-M883</f>
        <v>-1</v>
      </c>
      <c r="T883">
        <v>20</v>
      </c>
      <c r="U883" s="14">
        <v>470253.5</v>
      </c>
      <c r="V883" s="14">
        <v>666</v>
      </c>
      <c r="W883" s="16">
        <v>1.5199006289441654E-3</v>
      </c>
      <c r="X883" s="16">
        <v>1.2061459110566997E-3</v>
      </c>
    </row>
    <row r="884" spans="1:24" x14ac:dyDescent="0.2">
      <c r="A884" t="s">
        <v>17</v>
      </c>
      <c r="B884" t="s">
        <v>23</v>
      </c>
      <c r="C884" t="s">
        <v>61</v>
      </c>
      <c r="D884" t="s">
        <v>197</v>
      </c>
      <c r="E884" t="s">
        <v>547</v>
      </c>
      <c r="F884" t="s">
        <v>1203</v>
      </c>
      <c r="H884" t="s">
        <v>1669</v>
      </c>
      <c r="I884" t="s">
        <v>1671</v>
      </c>
      <c r="J884" t="s">
        <v>1674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f>N884-K884</f>
        <v>0</v>
      </c>
      <c r="R884">
        <f>O884-L884</f>
        <v>-1</v>
      </c>
      <c r="S884">
        <f>P884-M884</f>
        <v>-1</v>
      </c>
      <c r="T884">
        <v>36</v>
      </c>
      <c r="U884" s="14">
        <v>373489.98</v>
      </c>
      <c r="V884" s="14">
        <v>128</v>
      </c>
      <c r="W884" s="16">
        <v>1.2071524305642461E-3</v>
      </c>
      <c r="X884" s="16">
        <v>2.3181182674963599E-4</v>
      </c>
    </row>
    <row r="885" spans="1:24" x14ac:dyDescent="0.2">
      <c r="A885" t="s">
        <v>13</v>
      </c>
      <c r="B885" t="s">
        <v>21</v>
      </c>
      <c r="C885" t="s">
        <v>35</v>
      </c>
      <c r="D885" t="s">
        <v>198</v>
      </c>
      <c r="E885" t="s">
        <v>555</v>
      </c>
      <c r="F885" t="s">
        <v>1217</v>
      </c>
      <c r="H885" t="s">
        <v>1669</v>
      </c>
      <c r="I885" t="s">
        <v>1670</v>
      </c>
      <c r="J885" t="s">
        <v>1674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f>N885-K885</f>
        <v>0</v>
      </c>
      <c r="R885">
        <f>O885-L885</f>
        <v>-1</v>
      </c>
      <c r="S885">
        <f>P885-M885</f>
        <v>-1</v>
      </c>
      <c r="T885">
        <v>70</v>
      </c>
      <c r="U885" s="14">
        <v>76598.659999999989</v>
      </c>
      <c r="V885" s="14">
        <v>1080</v>
      </c>
      <c r="W885" s="16">
        <v>2.4757359915509458E-4</v>
      </c>
      <c r="X885" s="16">
        <v>1.9559122882000534E-3</v>
      </c>
    </row>
    <row r="886" spans="1:24" x14ac:dyDescent="0.2">
      <c r="A886" t="s">
        <v>17</v>
      </c>
      <c r="B886" t="s">
        <v>23</v>
      </c>
      <c r="C886" t="s">
        <v>45</v>
      </c>
      <c r="D886" t="s">
        <v>200</v>
      </c>
      <c r="E886" t="s">
        <v>569</v>
      </c>
      <c r="F886" t="s">
        <v>1242</v>
      </c>
      <c r="H886" t="s">
        <v>1669</v>
      </c>
      <c r="I886" t="s">
        <v>1671</v>
      </c>
      <c r="J886" t="s">
        <v>1674</v>
      </c>
      <c r="K886">
        <v>0</v>
      </c>
      <c r="L886">
        <v>1</v>
      </c>
      <c r="M886">
        <v>1</v>
      </c>
      <c r="N886">
        <v>0</v>
      </c>
      <c r="O886">
        <v>0</v>
      </c>
      <c r="P886">
        <v>0</v>
      </c>
      <c r="Q886">
        <f>N886-K886</f>
        <v>0</v>
      </c>
      <c r="R886">
        <f>O886-L886</f>
        <v>-1</v>
      </c>
      <c r="S886">
        <f>P886-M886</f>
        <v>-1</v>
      </c>
      <c r="T886">
        <v>270</v>
      </c>
      <c r="U886" s="14">
        <v>1267241.42</v>
      </c>
      <c r="V886" s="14">
        <v>805</v>
      </c>
      <c r="W886" s="16">
        <v>4.0958356105421801E-3</v>
      </c>
      <c r="X886" s="16">
        <v>1.4578790666676326E-3</v>
      </c>
    </row>
    <row r="887" spans="1:24" x14ac:dyDescent="0.2">
      <c r="A887" t="s">
        <v>12</v>
      </c>
      <c r="B887" t="s">
        <v>18</v>
      </c>
      <c r="C887" t="s">
        <v>32</v>
      </c>
      <c r="D887" t="s">
        <v>83</v>
      </c>
      <c r="E887" t="s">
        <v>61</v>
      </c>
      <c r="F887" t="s">
        <v>1246</v>
      </c>
      <c r="H887" t="s">
        <v>1669</v>
      </c>
      <c r="I887" t="s">
        <v>1670</v>
      </c>
      <c r="J887" t="s">
        <v>1674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f>N887-K887</f>
        <v>0</v>
      </c>
      <c r="R887">
        <f>O887-L887</f>
        <v>-1</v>
      </c>
      <c r="S887">
        <f>P887-M887</f>
        <v>-1</v>
      </c>
      <c r="T887">
        <v>36</v>
      </c>
      <c r="U887" s="14">
        <v>18254.800000000003</v>
      </c>
      <c r="V887" s="14">
        <v>188</v>
      </c>
      <c r="W887" s="16">
        <v>5.9001117485037235E-5</v>
      </c>
      <c r="X887" s="16">
        <v>3.4047362053852783E-4</v>
      </c>
    </row>
    <row r="888" spans="1:24" x14ac:dyDescent="0.2">
      <c r="A888" t="s">
        <v>17</v>
      </c>
      <c r="B888" t="s">
        <v>23</v>
      </c>
      <c r="C888" t="s">
        <v>61</v>
      </c>
      <c r="D888" t="s">
        <v>196</v>
      </c>
      <c r="E888" t="s">
        <v>570</v>
      </c>
      <c r="F888" t="s">
        <v>1248</v>
      </c>
      <c r="H888" t="s">
        <v>1669</v>
      </c>
      <c r="I888" t="s">
        <v>1671</v>
      </c>
      <c r="J888" t="s">
        <v>1674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0</v>
      </c>
      <c r="Q888">
        <f>N888-K888</f>
        <v>0</v>
      </c>
      <c r="R888">
        <f>O888-L888</f>
        <v>-1</v>
      </c>
      <c r="S888">
        <f>P888-M888</f>
        <v>-1</v>
      </c>
      <c r="T888">
        <v>16</v>
      </c>
      <c r="U888" s="14">
        <v>13624.05</v>
      </c>
      <c r="V888" s="14">
        <v>25</v>
      </c>
      <c r="W888" s="16">
        <v>4.4034126622697664E-5</v>
      </c>
      <c r="X888" s="16">
        <v>4.5275747412038275E-5</v>
      </c>
    </row>
    <row r="889" spans="1:24" x14ac:dyDescent="0.2">
      <c r="A889" t="s">
        <v>13</v>
      </c>
      <c r="B889" t="s">
        <v>20</v>
      </c>
      <c r="C889" t="s">
        <v>33</v>
      </c>
      <c r="D889" t="s">
        <v>84</v>
      </c>
      <c r="E889" t="s">
        <v>571</v>
      </c>
      <c r="F889" t="s">
        <v>1250</v>
      </c>
      <c r="H889" t="s">
        <v>1669</v>
      </c>
      <c r="I889" t="s">
        <v>1671</v>
      </c>
      <c r="J889" t="s">
        <v>1674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f>N889-K889</f>
        <v>0</v>
      </c>
      <c r="R889">
        <f>O889-L889</f>
        <v>-1</v>
      </c>
      <c r="S889">
        <f>P889-M889</f>
        <v>-1</v>
      </c>
      <c r="T889">
        <v>0</v>
      </c>
      <c r="U889" s="14">
        <v>0</v>
      </c>
      <c r="V889" s="14">
        <v>0</v>
      </c>
      <c r="W889" s="16">
        <v>0</v>
      </c>
      <c r="X889" s="16">
        <v>0</v>
      </c>
    </row>
    <row r="890" spans="1:24" x14ac:dyDescent="0.2">
      <c r="A890" t="s">
        <v>17</v>
      </c>
      <c r="B890" t="s">
        <v>23</v>
      </c>
      <c r="C890" t="s">
        <v>45</v>
      </c>
      <c r="D890" t="s">
        <v>200</v>
      </c>
      <c r="E890" t="s">
        <v>567</v>
      </c>
      <c r="F890" t="s">
        <v>1260</v>
      </c>
      <c r="H890" t="s">
        <v>1669</v>
      </c>
      <c r="I890" t="s">
        <v>1671</v>
      </c>
      <c r="J890" t="s">
        <v>1674</v>
      </c>
      <c r="K890">
        <v>0</v>
      </c>
      <c r="L890">
        <v>1</v>
      </c>
      <c r="M890">
        <v>1</v>
      </c>
      <c r="N890">
        <v>0</v>
      </c>
      <c r="O890">
        <v>0</v>
      </c>
      <c r="P890">
        <v>0</v>
      </c>
      <c r="Q890">
        <f>N890-K890</f>
        <v>0</v>
      </c>
      <c r="R890">
        <f>O890-L890</f>
        <v>-1</v>
      </c>
      <c r="S890">
        <f>P890-M890</f>
        <v>-1</v>
      </c>
      <c r="T890">
        <v>89</v>
      </c>
      <c r="U890" s="14">
        <v>169387.70000000004</v>
      </c>
      <c r="V890" s="14">
        <v>362</v>
      </c>
      <c r="W890" s="16">
        <v>5.4747592897321483E-4</v>
      </c>
      <c r="X890" s="16">
        <v>6.5559282252631429E-4</v>
      </c>
    </row>
    <row r="891" spans="1:24" x14ac:dyDescent="0.2">
      <c r="A891" t="s">
        <v>17</v>
      </c>
      <c r="B891" t="s">
        <v>24</v>
      </c>
      <c r="C891" t="s">
        <v>49</v>
      </c>
      <c r="D891" t="s">
        <v>180</v>
      </c>
      <c r="E891" t="s">
        <v>574</v>
      </c>
      <c r="F891" t="s">
        <v>1265</v>
      </c>
      <c r="H891" t="s">
        <v>1669</v>
      </c>
      <c r="I891" t="s">
        <v>1671</v>
      </c>
      <c r="J891" t="s">
        <v>1674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f>N891-K891</f>
        <v>0</v>
      </c>
      <c r="R891">
        <f>O891-L891</f>
        <v>-1</v>
      </c>
      <c r="S891">
        <f>P891-M891</f>
        <v>-1</v>
      </c>
      <c r="T891">
        <v>16</v>
      </c>
      <c r="U891" s="14">
        <v>16616.550000000003</v>
      </c>
      <c r="V891" s="14">
        <v>48</v>
      </c>
      <c r="W891" s="16">
        <v>5.37061495467491E-5</v>
      </c>
      <c r="X891" s="16">
        <v>8.6929435031113489E-5</v>
      </c>
    </row>
    <row r="892" spans="1:24" x14ac:dyDescent="0.2">
      <c r="A892" t="s">
        <v>13</v>
      </c>
      <c r="B892" t="s">
        <v>21</v>
      </c>
      <c r="C892" t="s">
        <v>35</v>
      </c>
      <c r="D892" t="s">
        <v>198</v>
      </c>
      <c r="E892" t="s">
        <v>555</v>
      </c>
      <c r="F892" t="s">
        <v>1271</v>
      </c>
      <c r="H892" t="s">
        <v>1669</v>
      </c>
      <c r="I892" t="s">
        <v>1670</v>
      </c>
      <c r="J892" t="s">
        <v>1674</v>
      </c>
      <c r="K892">
        <v>0</v>
      </c>
      <c r="L892">
        <v>1</v>
      </c>
      <c r="M892">
        <v>1</v>
      </c>
      <c r="N892">
        <v>0</v>
      </c>
      <c r="O892">
        <v>0</v>
      </c>
      <c r="P892">
        <v>0</v>
      </c>
      <c r="Q892">
        <f>N892-K892</f>
        <v>0</v>
      </c>
      <c r="R892">
        <f>O892-L892</f>
        <v>-1</v>
      </c>
      <c r="S892">
        <f>P892-M892</f>
        <v>-1</v>
      </c>
      <c r="T892">
        <v>89</v>
      </c>
      <c r="U892" s="14">
        <v>143844.46000000005</v>
      </c>
      <c r="V892" s="14">
        <v>1251</v>
      </c>
      <c r="W892" s="16">
        <v>4.6491793303852906E-4</v>
      </c>
      <c r="X892" s="16">
        <v>2.2655984004983955E-3</v>
      </c>
    </row>
    <row r="893" spans="1:24" x14ac:dyDescent="0.2">
      <c r="A893" t="s">
        <v>17</v>
      </c>
      <c r="B893" t="s">
        <v>23</v>
      </c>
      <c r="C893" t="s">
        <v>61</v>
      </c>
      <c r="D893" t="s">
        <v>196</v>
      </c>
      <c r="E893" t="s">
        <v>570</v>
      </c>
      <c r="F893" t="s">
        <v>1272</v>
      </c>
      <c r="H893" t="s">
        <v>1669</v>
      </c>
      <c r="I893" t="s">
        <v>1671</v>
      </c>
      <c r="J893" t="s">
        <v>1674</v>
      </c>
      <c r="K893">
        <v>0</v>
      </c>
      <c r="L893">
        <v>1</v>
      </c>
      <c r="M893">
        <v>1</v>
      </c>
      <c r="N893">
        <v>0</v>
      </c>
      <c r="O893">
        <v>0</v>
      </c>
      <c r="P893">
        <v>0</v>
      </c>
      <c r="Q893">
        <f>N893-K893</f>
        <v>0</v>
      </c>
      <c r="R893">
        <f>O893-L893</f>
        <v>-1</v>
      </c>
      <c r="S893">
        <f>P893-M893</f>
        <v>-1</v>
      </c>
      <c r="T893">
        <v>15</v>
      </c>
      <c r="U893" s="14">
        <v>15529.89</v>
      </c>
      <c r="V893" s="14">
        <v>29</v>
      </c>
      <c r="W893" s="16">
        <v>5.019396895171159E-5</v>
      </c>
      <c r="X893" s="16">
        <v>5.2519866997964405E-5</v>
      </c>
    </row>
    <row r="894" spans="1:24" x14ac:dyDescent="0.2">
      <c r="A894" t="s">
        <v>12</v>
      </c>
      <c r="B894" t="s">
        <v>18</v>
      </c>
      <c r="C894" t="s">
        <v>32</v>
      </c>
      <c r="D894" t="s">
        <v>83</v>
      </c>
      <c r="E894" t="s">
        <v>287</v>
      </c>
      <c r="F894" t="s">
        <v>1274</v>
      </c>
      <c r="H894" t="s">
        <v>1669</v>
      </c>
      <c r="I894" t="s">
        <v>1671</v>
      </c>
      <c r="J894" t="s">
        <v>1674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0</v>
      </c>
      <c r="Q894">
        <f>N894-K894</f>
        <v>0</v>
      </c>
      <c r="R894">
        <f>O894-L894</f>
        <v>-1</v>
      </c>
      <c r="S894">
        <f>P894-M894</f>
        <v>-1</v>
      </c>
      <c r="T894">
        <v>36</v>
      </c>
      <c r="U894" s="14">
        <v>16684.009999999995</v>
      </c>
      <c r="V894" s="14">
        <v>99</v>
      </c>
      <c r="W894" s="16">
        <v>5.3924186193852336E-5</v>
      </c>
      <c r="X894" s="16">
        <v>1.7929195975167157E-4</v>
      </c>
    </row>
    <row r="895" spans="1:24" x14ac:dyDescent="0.2">
      <c r="A895" t="s">
        <v>13</v>
      </c>
      <c r="B895" t="s">
        <v>22</v>
      </c>
      <c r="C895" t="s">
        <v>31</v>
      </c>
      <c r="D895" t="s">
        <v>94</v>
      </c>
      <c r="E895" t="s">
        <v>323</v>
      </c>
      <c r="F895" t="s">
        <v>1280</v>
      </c>
      <c r="H895" t="s">
        <v>1669</v>
      </c>
      <c r="I895" t="s">
        <v>1670</v>
      </c>
      <c r="J895" t="s">
        <v>1674</v>
      </c>
      <c r="K895">
        <v>0</v>
      </c>
      <c r="L895">
        <v>1</v>
      </c>
      <c r="M895">
        <v>1</v>
      </c>
      <c r="N895">
        <v>0</v>
      </c>
      <c r="O895">
        <v>0</v>
      </c>
      <c r="P895">
        <v>0</v>
      </c>
      <c r="Q895">
        <f>N895-K895</f>
        <v>0</v>
      </c>
      <c r="R895">
        <f>O895-L895</f>
        <v>-1</v>
      </c>
      <c r="S895">
        <f>P895-M895</f>
        <v>-1</v>
      </c>
      <c r="T895">
        <v>3</v>
      </c>
      <c r="U895" s="14">
        <v>1197.32</v>
      </c>
      <c r="V895" s="14">
        <v>4</v>
      </c>
      <c r="W895" s="16">
        <v>3.8698434377360891E-6</v>
      </c>
      <c r="X895" s="16">
        <v>7.2441195859261247E-6</v>
      </c>
    </row>
    <row r="896" spans="1:24" x14ac:dyDescent="0.2">
      <c r="A896" t="s">
        <v>13</v>
      </c>
      <c r="B896" t="s">
        <v>21</v>
      </c>
      <c r="C896" t="s">
        <v>35</v>
      </c>
      <c r="D896" t="s">
        <v>86</v>
      </c>
      <c r="E896" t="s">
        <v>86</v>
      </c>
      <c r="F896" t="s">
        <v>1284</v>
      </c>
      <c r="H896" t="s">
        <v>1669</v>
      </c>
      <c r="I896" t="s">
        <v>1670</v>
      </c>
      <c r="J896" t="s">
        <v>1674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0</v>
      </c>
      <c r="Q896">
        <f>N896-K896</f>
        <v>0</v>
      </c>
      <c r="R896">
        <f>O896-L896</f>
        <v>-1</v>
      </c>
      <c r="S896">
        <f>P896-M896</f>
        <v>-1</v>
      </c>
      <c r="T896">
        <v>17</v>
      </c>
      <c r="U896" s="14">
        <v>29017.22</v>
      </c>
      <c r="V896" s="14">
        <v>56</v>
      </c>
      <c r="W896" s="16">
        <v>9.3786204522052939E-5</v>
      </c>
      <c r="X896" s="16">
        <v>1.0141767420296575E-4</v>
      </c>
    </row>
    <row r="897" spans="1:24" x14ac:dyDescent="0.2">
      <c r="A897" t="s">
        <v>17</v>
      </c>
      <c r="B897" t="s">
        <v>23</v>
      </c>
      <c r="C897" t="s">
        <v>61</v>
      </c>
      <c r="D897" t="s">
        <v>196</v>
      </c>
      <c r="E897" t="s">
        <v>570</v>
      </c>
      <c r="F897" t="s">
        <v>1286</v>
      </c>
      <c r="H897" t="s">
        <v>1669</v>
      </c>
      <c r="I897" t="s">
        <v>1671</v>
      </c>
      <c r="J897" t="s">
        <v>1674</v>
      </c>
      <c r="K897">
        <v>0</v>
      </c>
      <c r="L897">
        <v>1</v>
      </c>
      <c r="M897">
        <v>1</v>
      </c>
      <c r="N897">
        <v>0</v>
      </c>
      <c r="O897">
        <v>0</v>
      </c>
      <c r="P897">
        <v>0</v>
      </c>
      <c r="Q897">
        <f>N897-K897</f>
        <v>0</v>
      </c>
      <c r="R897">
        <f>O897-L897</f>
        <v>-1</v>
      </c>
      <c r="S897">
        <f>P897-M897</f>
        <v>-1</v>
      </c>
      <c r="T897">
        <v>36</v>
      </c>
      <c r="U897" s="14">
        <v>48239.44</v>
      </c>
      <c r="V897" s="14">
        <v>352</v>
      </c>
      <c r="W897" s="16">
        <v>1.5591410844558167E-4</v>
      </c>
      <c r="X897" s="16">
        <v>6.3748252356149893E-4</v>
      </c>
    </row>
    <row r="898" spans="1:24" x14ac:dyDescent="0.2">
      <c r="A898" t="s">
        <v>13</v>
      </c>
      <c r="B898" t="s">
        <v>20</v>
      </c>
      <c r="C898" t="s">
        <v>33</v>
      </c>
      <c r="D898" t="s">
        <v>203</v>
      </c>
      <c r="E898" t="s">
        <v>578</v>
      </c>
      <c r="F898" t="s">
        <v>1290</v>
      </c>
      <c r="H898" t="s">
        <v>1669</v>
      </c>
      <c r="I898" t="s">
        <v>1670</v>
      </c>
      <c r="J898" t="s">
        <v>1674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0</v>
      </c>
      <c r="Q898">
        <f>N898-K898</f>
        <v>0</v>
      </c>
      <c r="R898">
        <f>O898-L898</f>
        <v>-1</v>
      </c>
      <c r="S898">
        <f>P898-M898</f>
        <v>-1</v>
      </c>
      <c r="T898">
        <v>0</v>
      </c>
      <c r="U898" s="14">
        <v>0</v>
      </c>
      <c r="V898" s="14">
        <v>0</v>
      </c>
      <c r="W898" s="16">
        <v>0</v>
      </c>
      <c r="X898" s="16">
        <v>0</v>
      </c>
    </row>
    <row r="899" spans="1:24" x14ac:dyDescent="0.2">
      <c r="A899" t="s">
        <v>17</v>
      </c>
      <c r="B899" t="s">
        <v>23</v>
      </c>
      <c r="C899" t="s">
        <v>61</v>
      </c>
      <c r="D899" t="s">
        <v>196</v>
      </c>
      <c r="E899" t="s">
        <v>545</v>
      </c>
      <c r="F899" t="s">
        <v>1300</v>
      </c>
      <c r="H899" t="s">
        <v>1669</v>
      </c>
      <c r="I899" t="s">
        <v>1671</v>
      </c>
      <c r="J899" t="s">
        <v>1674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0</v>
      </c>
      <c r="Q899">
        <f>N899-K899</f>
        <v>0</v>
      </c>
      <c r="R899">
        <f>O899-L899</f>
        <v>-1</v>
      </c>
      <c r="S899">
        <f>P899-M899</f>
        <v>-1</v>
      </c>
      <c r="T899">
        <v>35</v>
      </c>
      <c r="U899" s="14">
        <v>18012.420000000002</v>
      </c>
      <c r="V899" s="14">
        <v>154</v>
      </c>
      <c r="W899" s="16">
        <v>5.8217724029287325E-5</v>
      </c>
      <c r="X899" s="16">
        <v>2.7889860405815579E-4</v>
      </c>
    </row>
    <row r="900" spans="1:24" x14ac:dyDescent="0.2">
      <c r="A900" t="s">
        <v>12</v>
      </c>
      <c r="B900" t="s">
        <v>18</v>
      </c>
      <c r="C900" t="s">
        <v>32</v>
      </c>
      <c r="D900" t="s">
        <v>83</v>
      </c>
      <c r="E900" t="s">
        <v>288</v>
      </c>
      <c r="F900" t="s">
        <v>1304</v>
      </c>
      <c r="H900" t="s">
        <v>1669</v>
      </c>
      <c r="I900" t="s">
        <v>1670</v>
      </c>
      <c r="J900" t="s">
        <v>1674</v>
      </c>
      <c r="K900">
        <v>0</v>
      </c>
      <c r="L900">
        <v>1</v>
      </c>
      <c r="M900">
        <v>1</v>
      </c>
      <c r="N900">
        <v>0</v>
      </c>
      <c r="O900">
        <v>0</v>
      </c>
      <c r="P900">
        <v>0</v>
      </c>
      <c r="Q900">
        <f>N900-K900</f>
        <v>0</v>
      </c>
      <c r="R900">
        <f>O900-L900</f>
        <v>-1</v>
      </c>
      <c r="S900">
        <f>P900-M900</f>
        <v>-1</v>
      </c>
      <c r="T900">
        <v>68</v>
      </c>
      <c r="U900" s="14">
        <v>55715.909999999982</v>
      </c>
      <c r="V900" s="14">
        <v>1441</v>
      </c>
      <c r="W900" s="16">
        <v>1.8007871637573455E-4</v>
      </c>
      <c r="X900" s="16">
        <v>2.6096940808298863E-3</v>
      </c>
    </row>
    <row r="901" spans="1:24" x14ac:dyDescent="0.2">
      <c r="A901" t="s">
        <v>13</v>
      </c>
      <c r="B901" t="s">
        <v>21</v>
      </c>
      <c r="C901" t="s">
        <v>35</v>
      </c>
      <c r="D901" t="s">
        <v>201</v>
      </c>
      <c r="E901" t="s">
        <v>568</v>
      </c>
      <c r="F901" t="s">
        <v>1305</v>
      </c>
      <c r="H901" t="s">
        <v>1669</v>
      </c>
      <c r="I901" t="s">
        <v>1671</v>
      </c>
      <c r="J901" t="s">
        <v>1674</v>
      </c>
      <c r="K901">
        <v>0</v>
      </c>
      <c r="L901">
        <v>1</v>
      </c>
      <c r="M901">
        <v>1</v>
      </c>
      <c r="N901">
        <v>0</v>
      </c>
      <c r="O901">
        <v>0</v>
      </c>
      <c r="P901">
        <v>0</v>
      </c>
      <c r="Q901">
        <f>N901-K901</f>
        <v>0</v>
      </c>
      <c r="R901">
        <f>O901-L901</f>
        <v>-1</v>
      </c>
      <c r="S901">
        <f>P901-M901</f>
        <v>-1</v>
      </c>
      <c r="T901">
        <v>0</v>
      </c>
      <c r="U901" s="14">
        <v>0</v>
      </c>
      <c r="V901" s="14">
        <v>0</v>
      </c>
      <c r="W901" s="16">
        <v>0</v>
      </c>
      <c r="X901" s="16">
        <v>0</v>
      </c>
    </row>
    <row r="902" spans="1:24" x14ac:dyDescent="0.2">
      <c r="A902" t="s">
        <v>17</v>
      </c>
      <c r="B902" t="s">
        <v>23</v>
      </c>
      <c r="C902" t="s">
        <v>60</v>
      </c>
      <c r="D902" t="s">
        <v>175</v>
      </c>
      <c r="E902" t="s">
        <v>480</v>
      </c>
      <c r="F902" t="s">
        <v>1313</v>
      </c>
      <c r="H902" t="s">
        <v>1669</v>
      </c>
      <c r="I902" t="s">
        <v>1671</v>
      </c>
      <c r="J902" t="s">
        <v>1674</v>
      </c>
      <c r="K902">
        <v>0</v>
      </c>
      <c r="L902">
        <v>1</v>
      </c>
      <c r="M902">
        <v>1</v>
      </c>
      <c r="N902">
        <v>0</v>
      </c>
      <c r="O902">
        <v>0</v>
      </c>
      <c r="P902">
        <v>0</v>
      </c>
      <c r="Q902">
        <f>N902-K902</f>
        <v>0</v>
      </c>
      <c r="R902">
        <f>O902-L902</f>
        <v>-1</v>
      </c>
      <c r="S902">
        <f>P902-M902</f>
        <v>-1</v>
      </c>
      <c r="T902">
        <v>620</v>
      </c>
      <c r="U902" s="14">
        <v>799709.40000000014</v>
      </c>
      <c r="V902" s="14">
        <v>1568</v>
      </c>
      <c r="W902" s="16">
        <v>2.584731044069978E-3</v>
      </c>
      <c r="X902" s="16">
        <v>2.8396948776830406E-3</v>
      </c>
    </row>
    <row r="903" spans="1:24" x14ac:dyDescent="0.2">
      <c r="A903" t="s">
        <v>15</v>
      </c>
      <c r="B903" t="s">
        <v>24</v>
      </c>
      <c r="C903" t="s">
        <v>58</v>
      </c>
      <c r="D903" t="s">
        <v>148</v>
      </c>
      <c r="E903" t="s">
        <v>407</v>
      </c>
      <c r="F903" t="s">
        <v>1275</v>
      </c>
      <c r="H903" t="s">
        <v>1669</v>
      </c>
      <c r="I903" t="s">
        <v>1670</v>
      </c>
      <c r="J903" t="s">
        <v>1674</v>
      </c>
      <c r="K903">
        <v>0</v>
      </c>
      <c r="L903">
        <v>2</v>
      </c>
      <c r="M903">
        <v>2</v>
      </c>
      <c r="N903">
        <v>1</v>
      </c>
      <c r="O903">
        <v>0</v>
      </c>
      <c r="P903">
        <v>1</v>
      </c>
      <c r="Q903">
        <f>N903-K903</f>
        <v>1</v>
      </c>
      <c r="R903">
        <f>O903-L903</f>
        <v>-2</v>
      </c>
      <c r="S903">
        <f>P903-M903</f>
        <v>-1</v>
      </c>
      <c r="T903">
        <v>0</v>
      </c>
      <c r="U903" s="14">
        <v>0</v>
      </c>
      <c r="V903" s="14">
        <v>0</v>
      </c>
      <c r="W903" s="16">
        <v>0</v>
      </c>
      <c r="X903" s="16">
        <v>0</v>
      </c>
    </row>
    <row r="904" spans="1:24" x14ac:dyDescent="0.2">
      <c r="A904" t="s">
        <v>17</v>
      </c>
      <c r="B904" t="s">
        <v>24</v>
      </c>
      <c r="C904" t="s">
        <v>49</v>
      </c>
      <c r="D904" t="s">
        <v>133</v>
      </c>
      <c r="E904" t="s">
        <v>579</v>
      </c>
      <c r="F904" t="s">
        <v>579</v>
      </c>
      <c r="H904" t="s">
        <v>1669</v>
      </c>
      <c r="I904" t="s">
        <v>1670</v>
      </c>
      <c r="J904" t="s">
        <v>1674</v>
      </c>
      <c r="K904">
        <v>0</v>
      </c>
      <c r="L904">
        <v>2</v>
      </c>
      <c r="M904">
        <v>2</v>
      </c>
      <c r="N904">
        <v>1</v>
      </c>
      <c r="O904">
        <v>0</v>
      </c>
      <c r="P904">
        <v>1</v>
      </c>
      <c r="Q904">
        <f>N904-K904</f>
        <v>1</v>
      </c>
      <c r="R904">
        <f>O904-L904</f>
        <v>-2</v>
      </c>
      <c r="S904">
        <f>P904-M904</f>
        <v>-1</v>
      </c>
      <c r="T904">
        <v>1</v>
      </c>
      <c r="U904" s="14">
        <v>2577</v>
      </c>
      <c r="V904" s="14">
        <v>2</v>
      </c>
      <c r="W904" s="16">
        <v>8.329090417804682E-6</v>
      </c>
      <c r="X904" s="16">
        <v>3.6220597929630623E-6</v>
      </c>
    </row>
    <row r="905" spans="1:24" x14ac:dyDescent="0.2">
      <c r="A905" t="s">
        <v>12</v>
      </c>
      <c r="B905" t="s">
        <v>18</v>
      </c>
      <c r="C905" t="s">
        <v>26</v>
      </c>
      <c r="D905" t="s">
        <v>63</v>
      </c>
      <c r="E905" t="s">
        <v>233</v>
      </c>
      <c r="F905" t="s">
        <v>233</v>
      </c>
      <c r="H905" t="s">
        <v>1669</v>
      </c>
      <c r="I905" t="s">
        <v>1670</v>
      </c>
      <c r="J905" t="s">
        <v>1674</v>
      </c>
      <c r="K905">
        <v>6</v>
      </c>
      <c r="L905">
        <v>0</v>
      </c>
      <c r="M905">
        <v>6</v>
      </c>
      <c r="N905">
        <v>4</v>
      </c>
      <c r="O905">
        <v>0</v>
      </c>
      <c r="P905">
        <v>4</v>
      </c>
      <c r="Q905">
        <f>N905-K905</f>
        <v>-2</v>
      </c>
      <c r="R905">
        <f>O905-L905</f>
        <v>0</v>
      </c>
      <c r="S905">
        <f>P905-M905</f>
        <v>-2</v>
      </c>
      <c r="T905">
        <v>1</v>
      </c>
      <c r="U905" s="14">
        <v>1763.57</v>
      </c>
      <c r="V905" s="14">
        <v>3</v>
      </c>
      <c r="W905" s="16">
        <v>5.7000131890290278E-6</v>
      </c>
      <c r="X905" s="16">
        <v>5.4330896894445931E-6</v>
      </c>
    </row>
    <row r="906" spans="1:24" x14ac:dyDescent="0.2">
      <c r="A906" t="s">
        <v>14</v>
      </c>
      <c r="B906" s="35" t="s">
        <v>19</v>
      </c>
      <c r="C906" t="s">
        <v>27</v>
      </c>
      <c r="D906" t="s">
        <v>68</v>
      </c>
      <c r="E906" t="s">
        <v>254</v>
      </c>
      <c r="F906" t="s">
        <v>1357</v>
      </c>
      <c r="H906" t="s">
        <v>1670</v>
      </c>
      <c r="I906" t="s">
        <v>1671</v>
      </c>
      <c r="J906" t="s">
        <v>1674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f>N906-K906</f>
        <v>0</v>
      </c>
      <c r="R906">
        <f>O906-L906</f>
        <v>0</v>
      </c>
      <c r="S906">
        <f>P906-M906</f>
        <v>0</v>
      </c>
      <c r="T906">
        <v>0</v>
      </c>
      <c r="U906" s="14">
        <v>0</v>
      </c>
      <c r="V906" s="14">
        <v>0</v>
      </c>
      <c r="W906" s="16">
        <v>0</v>
      </c>
      <c r="X906" s="16">
        <v>0</v>
      </c>
    </row>
    <row r="907" spans="1:24" x14ac:dyDescent="0.2">
      <c r="A907" t="s">
        <v>12</v>
      </c>
      <c r="B907" t="s">
        <v>18</v>
      </c>
      <c r="C907" t="s">
        <v>29</v>
      </c>
      <c r="D907" t="s">
        <v>80</v>
      </c>
      <c r="E907" t="s">
        <v>282</v>
      </c>
      <c r="F907" t="s">
        <v>730</v>
      </c>
      <c r="H907" t="s">
        <v>1669</v>
      </c>
      <c r="I907" t="s">
        <v>1670</v>
      </c>
      <c r="J907" t="s">
        <v>1674</v>
      </c>
      <c r="K907">
        <v>3</v>
      </c>
      <c r="L907">
        <v>0</v>
      </c>
      <c r="M907">
        <v>3</v>
      </c>
      <c r="N907">
        <v>1</v>
      </c>
      <c r="O907">
        <v>0</v>
      </c>
      <c r="P907">
        <v>1</v>
      </c>
      <c r="Q907">
        <f>N907-K907</f>
        <v>-2</v>
      </c>
      <c r="R907">
        <f>O907-L907</f>
        <v>0</v>
      </c>
      <c r="S907">
        <f>P907-M907</f>
        <v>-2</v>
      </c>
      <c r="T907">
        <v>56</v>
      </c>
      <c r="U907" s="14">
        <v>107509.07999999999</v>
      </c>
      <c r="V907" s="14">
        <v>150</v>
      </c>
      <c r="W907" s="16">
        <v>3.4747879241559833E-4</v>
      </c>
      <c r="X907" s="16">
        <v>2.7165448447222967E-4</v>
      </c>
    </row>
    <row r="908" spans="1:24" x14ac:dyDescent="0.2">
      <c r="A908" t="s">
        <v>13</v>
      </c>
      <c r="B908" t="s">
        <v>22</v>
      </c>
      <c r="C908" t="s">
        <v>46</v>
      </c>
      <c r="D908" t="s">
        <v>122</v>
      </c>
      <c r="E908" t="s">
        <v>365</v>
      </c>
      <c r="F908" t="s">
        <v>1374</v>
      </c>
      <c r="H908" t="s">
        <v>1670</v>
      </c>
      <c r="I908" t="s">
        <v>1671</v>
      </c>
      <c r="J908" t="s">
        <v>1674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f>N908-K908</f>
        <v>0</v>
      </c>
      <c r="R908">
        <f>O908-L908</f>
        <v>0</v>
      </c>
      <c r="S908">
        <f>P908-M908</f>
        <v>0</v>
      </c>
      <c r="T908">
        <v>0</v>
      </c>
      <c r="U908" s="14">
        <v>0</v>
      </c>
      <c r="V908" s="14">
        <v>0</v>
      </c>
      <c r="W908" s="16">
        <v>0</v>
      </c>
      <c r="X908" s="16">
        <v>0</v>
      </c>
    </row>
    <row r="909" spans="1:24" x14ac:dyDescent="0.2">
      <c r="A909" t="s">
        <v>14</v>
      </c>
      <c r="B909" s="35" t="s">
        <v>19</v>
      </c>
      <c r="C909" t="s">
        <v>52</v>
      </c>
      <c r="D909" t="s">
        <v>139</v>
      </c>
      <c r="E909" t="s">
        <v>607</v>
      </c>
      <c r="F909" t="s">
        <v>607</v>
      </c>
      <c r="H909" t="s">
        <v>1670</v>
      </c>
      <c r="I909" t="s">
        <v>1670</v>
      </c>
      <c r="J909" t="s">
        <v>1674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f>N909-K909</f>
        <v>0</v>
      </c>
      <c r="R909">
        <f>O909-L909</f>
        <v>0</v>
      </c>
      <c r="S909">
        <f>P909-M909</f>
        <v>0</v>
      </c>
      <c r="T909">
        <v>0</v>
      </c>
      <c r="U909" s="14">
        <v>0</v>
      </c>
      <c r="V909" s="14">
        <v>0</v>
      </c>
      <c r="W909" s="16">
        <v>0</v>
      </c>
      <c r="X909" s="16">
        <v>0</v>
      </c>
    </row>
    <row r="910" spans="1:24" x14ac:dyDescent="0.2">
      <c r="A910" t="s">
        <v>13</v>
      </c>
      <c r="B910" t="s">
        <v>20</v>
      </c>
      <c r="C910" t="s">
        <v>33</v>
      </c>
      <c r="D910" t="s">
        <v>88</v>
      </c>
      <c r="E910" t="s">
        <v>300</v>
      </c>
      <c r="F910" t="s">
        <v>787</v>
      </c>
      <c r="H910" t="s">
        <v>1669</v>
      </c>
      <c r="I910" t="s">
        <v>1670</v>
      </c>
      <c r="J910" t="s">
        <v>1674</v>
      </c>
      <c r="K910">
        <v>2</v>
      </c>
      <c r="L910">
        <v>0</v>
      </c>
      <c r="M910">
        <v>2</v>
      </c>
      <c r="N910">
        <v>0</v>
      </c>
      <c r="O910">
        <v>0</v>
      </c>
      <c r="P910">
        <v>0</v>
      </c>
      <c r="Q910">
        <f>N910-K910</f>
        <v>-2</v>
      </c>
      <c r="R910">
        <f>O910-L910</f>
        <v>0</v>
      </c>
      <c r="S910">
        <f>P910-M910</f>
        <v>-2</v>
      </c>
      <c r="T910">
        <v>4</v>
      </c>
      <c r="U910" s="14">
        <v>258609.06</v>
      </c>
      <c r="V910" s="14">
        <v>76</v>
      </c>
      <c r="W910" s="16">
        <v>8.3584720357139165E-4</v>
      </c>
      <c r="X910" s="16">
        <v>1.3763827213259636E-4</v>
      </c>
    </row>
    <row r="911" spans="1:24" x14ac:dyDescent="0.2">
      <c r="A911" t="s">
        <v>13</v>
      </c>
      <c r="B911" t="s">
        <v>20</v>
      </c>
      <c r="C911" t="s">
        <v>31</v>
      </c>
      <c r="D911" t="s">
        <v>82</v>
      </c>
      <c r="E911" t="s">
        <v>283</v>
      </c>
      <c r="F911" t="s">
        <v>814</v>
      </c>
      <c r="H911" t="s">
        <v>1669</v>
      </c>
      <c r="I911" t="s">
        <v>1670</v>
      </c>
      <c r="J911" t="s">
        <v>1674</v>
      </c>
      <c r="K911">
        <v>3</v>
      </c>
      <c r="L911">
        <v>0</v>
      </c>
      <c r="M911">
        <v>3</v>
      </c>
      <c r="N911">
        <v>1</v>
      </c>
      <c r="O911">
        <v>0</v>
      </c>
      <c r="P911">
        <v>1</v>
      </c>
      <c r="Q911">
        <f>N911-K911</f>
        <v>-2</v>
      </c>
      <c r="R911">
        <f>O911-L911</f>
        <v>0</v>
      </c>
      <c r="S911">
        <f>P911-M911</f>
        <v>-2</v>
      </c>
      <c r="T911">
        <v>7</v>
      </c>
      <c r="U911" s="14">
        <v>25875.23</v>
      </c>
      <c r="V911" s="14">
        <v>13</v>
      </c>
      <c r="W911" s="16">
        <v>8.3631016783660168E-5</v>
      </c>
      <c r="X911" s="16">
        <v>2.3543388654259903E-5</v>
      </c>
    </row>
    <row r="912" spans="1:24" x14ac:dyDescent="0.2">
      <c r="A912" t="s">
        <v>13</v>
      </c>
      <c r="B912" t="s">
        <v>20</v>
      </c>
      <c r="C912" t="s">
        <v>31</v>
      </c>
      <c r="D912" t="s">
        <v>93</v>
      </c>
      <c r="E912" t="s">
        <v>320</v>
      </c>
      <c r="F912" t="s">
        <v>827</v>
      </c>
      <c r="H912" t="s">
        <v>1669</v>
      </c>
      <c r="I912" t="s">
        <v>1670</v>
      </c>
      <c r="J912" t="s">
        <v>1674</v>
      </c>
      <c r="K912">
        <v>2</v>
      </c>
      <c r="L912">
        <v>0</v>
      </c>
      <c r="M912">
        <v>2</v>
      </c>
      <c r="N912">
        <v>0</v>
      </c>
      <c r="O912">
        <v>0</v>
      </c>
      <c r="P912">
        <v>0</v>
      </c>
      <c r="Q912">
        <f>N912-K912</f>
        <v>-2</v>
      </c>
      <c r="R912">
        <f>O912-L912</f>
        <v>0</v>
      </c>
      <c r="S912">
        <f>P912-M912</f>
        <v>-2</v>
      </c>
      <c r="T912">
        <v>3</v>
      </c>
      <c r="U912" s="14">
        <v>23030</v>
      </c>
      <c r="V912" s="14">
        <v>8</v>
      </c>
      <c r="W912" s="16">
        <v>7.4434983438898661E-5</v>
      </c>
      <c r="X912" s="16">
        <v>1.4488239171852249E-5</v>
      </c>
    </row>
    <row r="913" spans="1:24" x14ac:dyDescent="0.2">
      <c r="A913" t="s">
        <v>13</v>
      </c>
      <c r="B913" t="s">
        <v>21</v>
      </c>
      <c r="C913" t="s">
        <v>35</v>
      </c>
      <c r="D913" t="s">
        <v>96</v>
      </c>
      <c r="E913" t="s">
        <v>325</v>
      </c>
      <c r="F913" t="s">
        <v>840</v>
      </c>
      <c r="H913" t="s">
        <v>1669</v>
      </c>
      <c r="I913" t="s">
        <v>1671</v>
      </c>
      <c r="J913" t="s">
        <v>1674</v>
      </c>
      <c r="K913">
        <v>2</v>
      </c>
      <c r="L913">
        <v>0</v>
      </c>
      <c r="M913">
        <v>2</v>
      </c>
      <c r="N913">
        <v>0</v>
      </c>
      <c r="O913">
        <v>0</v>
      </c>
      <c r="P913">
        <v>0</v>
      </c>
      <c r="Q913">
        <f>N913-K913</f>
        <v>-2</v>
      </c>
      <c r="R913">
        <f>O913-L913</f>
        <v>0</v>
      </c>
      <c r="S913">
        <f>P913-M913</f>
        <v>-2</v>
      </c>
      <c r="T913">
        <v>0</v>
      </c>
      <c r="U913" s="14">
        <v>0</v>
      </c>
      <c r="V913" s="14">
        <v>0</v>
      </c>
      <c r="W913" s="16">
        <v>0</v>
      </c>
      <c r="X913" s="16">
        <v>0</v>
      </c>
    </row>
    <row r="914" spans="1:24" s="32" customFormat="1" x14ac:dyDescent="0.2">
      <c r="A914" s="32" t="s">
        <v>13</v>
      </c>
      <c r="B914" s="32" t="s">
        <v>22</v>
      </c>
      <c r="C914" s="32" t="s">
        <v>41</v>
      </c>
      <c r="D914" s="32" t="s">
        <v>108</v>
      </c>
      <c r="E914" s="32" t="s">
        <v>345</v>
      </c>
      <c r="F914" s="32" t="s">
        <v>854</v>
      </c>
      <c r="H914" s="32" t="s">
        <v>1669</v>
      </c>
      <c r="I914" t="s">
        <v>1671</v>
      </c>
      <c r="J914" s="32" t="s">
        <v>1674</v>
      </c>
      <c r="K914" s="32">
        <v>10</v>
      </c>
      <c r="L914" s="32">
        <v>0</v>
      </c>
      <c r="M914" s="32">
        <v>10</v>
      </c>
      <c r="N914" s="32">
        <v>8</v>
      </c>
      <c r="O914" s="32">
        <v>0</v>
      </c>
      <c r="P914" s="32">
        <v>8</v>
      </c>
      <c r="Q914" s="32">
        <f>N914-K914</f>
        <v>-2</v>
      </c>
      <c r="R914" s="32">
        <f>O914-L914</f>
        <v>0</v>
      </c>
      <c r="S914" s="32">
        <f>P914-M914</f>
        <v>-2</v>
      </c>
      <c r="T914" s="32">
        <v>8</v>
      </c>
      <c r="U914" s="33">
        <v>124016.26999999999</v>
      </c>
      <c r="V914" s="33">
        <v>50</v>
      </c>
      <c r="W914" s="34">
        <v>4.0083148083386815E-4</v>
      </c>
      <c r="X914" s="34">
        <v>9.0551494824076551E-5</v>
      </c>
    </row>
    <row r="915" spans="1:24" x14ac:dyDescent="0.2">
      <c r="A915" t="s">
        <v>14</v>
      </c>
      <c r="B915" s="35" t="s">
        <v>19</v>
      </c>
      <c r="C915" t="s">
        <v>48</v>
      </c>
      <c r="D915" t="s">
        <v>129</v>
      </c>
      <c r="E915" t="s">
        <v>371</v>
      </c>
      <c r="F915" t="s">
        <v>1383</v>
      </c>
      <c r="H915" t="s">
        <v>1670</v>
      </c>
      <c r="I915" t="s">
        <v>1670</v>
      </c>
      <c r="J915" t="s">
        <v>1674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f>N915-K915</f>
        <v>0</v>
      </c>
      <c r="R915">
        <f>O915-L915</f>
        <v>0</v>
      </c>
      <c r="S915">
        <f>P915-M915</f>
        <v>0</v>
      </c>
      <c r="T915">
        <v>0</v>
      </c>
      <c r="U915" s="14">
        <v>0</v>
      </c>
      <c r="V915" s="14">
        <v>0</v>
      </c>
      <c r="W915" s="16">
        <v>0</v>
      </c>
      <c r="X915" s="16">
        <v>0</v>
      </c>
    </row>
    <row r="916" spans="1:24" x14ac:dyDescent="0.2">
      <c r="A916" t="s">
        <v>13</v>
      </c>
      <c r="B916" t="s">
        <v>22</v>
      </c>
      <c r="C916" t="s">
        <v>46</v>
      </c>
      <c r="D916" t="s">
        <v>170</v>
      </c>
      <c r="E916" t="s">
        <v>470</v>
      </c>
      <c r="F916" t="s">
        <v>1394</v>
      </c>
      <c r="H916" t="s">
        <v>1670</v>
      </c>
      <c r="I916" t="s">
        <v>1672</v>
      </c>
      <c r="J916" t="s">
        <v>1673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f>N916-K916</f>
        <v>0</v>
      </c>
      <c r="R916">
        <f>O916-L916</f>
        <v>0</v>
      </c>
      <c r="S916">
        <f>P916-M916</f>
        <v>0</v>
      </c>
      <c r="T916">
        <v>0</v>
      </c>
      <c r="U916" s="14">
        <v>0</v>
      </c>
      <c r="V916" s="14">
        <v>0</v>
      </c>
      <c r="W916" s="16">
        <v>0</v>
      </c>
      <c r="X916" s="16">
        <v>0</v>
      </c>
    </row>
    <row r="917" spans="1:24" x14ac:dyDescent="0.2">
      <c r="A917" t="s">
        <v>14</v>
      </c>
      <c r="B917" s="35" t="s">
        <v>19</v>
      </c>
      <c r="C917" t="s">
        <v>48</v>
      </c>
      <c r="D917" t="s">
        <v>132</v>
      </c>
      <c r="E917" t="s">
        <v>558</v>
      </c>
      <c r="F917" t="s">
        <v>1411</v>
      </c>
      <c r="H917" t="s">
        <v>1670</v>
      </c>
      <c r="I917" t="s">
        <v>1670</v>
      </c>
      <c r="J917" t="s">
        <v>1674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f>N917-K917</f>
        <v>0</v>
      </c>
      <c r="R917">
        <f>O917-L917</f>
        <v>0</v>
      </c>
      <c r="S917">
        <f>P917-M917</f>
        <v>0</v>
      </c>
      <c r="T917">
        <v>0</v>
      </c>
      <c r="U917" s="14">
        <v>0</v>
      </c>
      <c r="V917" s="14">
        <v>0</v>
      </c>
      <c r="W917" s="16">
        <v>0</v>
      </c>
      <c r="X917" s="16">
        <v>0</v>
      </c>
    </row>
    <row r="918" spans="1:24" x14ac:dyDescent="0.2">
      <c r="A918" t="s">
        <v>14</v>
      </c>
      <c r="B918" s="35" t="s">
        <v>19</v>
      </c>
      <c r="C918" t="s">
        <v>48</v>
      </c>
      <c r="D918" t="s">
        <v>129</v>
      </c>
      <c r="E918" t="s">
        <v>371</v>
      </c>
      <c r="F918" t="s">
        <v>1416</v>
      </c>
      <c r="H918" t="s">
        <v>1670</v>
      </c>
      <c r="I918" t="s">
        <v>1670</v>
      </c>
      <c r="J918" t="s">
        <v>1674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f>N918-K918</f>
        <v>0</v>
      </c>
      <c r="R918">
        <f>O918-L918</f>
        <v>0</v>
      </c>
      <c r="S918">
        <f>P918-M918</f>
        <v>0</v>
      </c>
      <c r="T918">
        <v>0</v>
      </c>
      <c r="U918" s="14">
        <v>0</v>
      </c>
      <c r="V918" s="14">
        <v>0</v>
      </c>
      <c r="W918" s="16">
        <v>0</v>
      </c>
      <c r="X918" s="16">
        <v>0</v>
      </c>
    </row>
    <row r="919" spans="1:24" x14ac:dyDescent="0.2">
      <c r="A919" t="s">
        <v>12</v>
      </c>
      <c r="B919" s="35" t="s">
        <v>19</v>
      </c>
      <c r="C919" t="s">
        <v>27</v>
      </c>
      <c r="D919" t="s">
        <v>65</v>
      </c>
      <c r="E919" t="s">
        <v>619</v>
      </c>
      <c r="F919" t="s">
        <v>1417</v>
      </c>
      <c r="H919" t="s">
        <v>1670</v>
      </c>
      <c r="I919" t="s">
        <v>1670</v>
      </c>
      <c r="J919" t="s">
        <v>1674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f>N919-K919</f>
        <v>0</v>
      </c>
      <c r="R919">
        <f>O919-L919</f>
        <v>0</v>
      </c>
      <c r="S919">
        <f>P919-M919</f>
        <v>0</v>
      </c>
      <c r="T919">
        <v>0</v>
      </c>
      <c r="U919" s="14">
        <v>0</v>
      </c>
      <c r="V919" s="14">
        <v>0</v>
      </c>
      <c r="W919" s="16">
        <v>0</v>
      </c>
      <c r="X919" s="16">
        <v>0</v>
      </c>
    </row>
    <row r="920" spans="1:24" x14ac:dyDescent="0.2">
      <c r="A920" t="s">
        <v>14</v>
      </c>
      <c r="B920" s="35" t="s">
        <v>19</v>
      </c>
      <c r="C920" t="s">
        <v>42</v>
      </c>
      <c r="D920" t="s">
        <v>109</v>
      </c>
      <c r="E920" t="s">
        <v>622</v>
      </c>
      <c r="F920" t="s">
        <v>622</v>
      </c>
      <c r="H920" t="s">
        <v>1670</v>
      </c>
      <c r="I920" t="s">
        <v>1670</v>
      </c>
      <c r="J920" t="s">
        <v>1674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f>N920-K920</f>
        <v>0</v>
      </c>
      <c r="R920">
        <f>O920-L920</f>
        <v>0</v>
      </c>
      <c r="S920">
        <f>P920-M920</f>
        <v>0</v>
      </c>
      <c r="T920">
        <v>0</v>
      </c>
      <c r="U920" s="14">
        <v>0</v>
      </c>
      <c r="V920" s="14">
        <v>0</v>
      </c>
      <c r="W920" s="16">
        <v>0</v>
      </c>
      <c r="X920" s="16">
        <v>0</v>
      </c>
    </row>
    <row r="921" spans="1:24" x14ac:dyDescent="0.2">
      <c r="A921" t="s">
        <v>12</v>
      </c>
      <c r="B921" s="35" t="s">
        <v>19</v>
      </c>
      <c r="C921" t="s">
        <v>27</v>
      </c>
      <c r="D921" t="s">
        <v>67</v>
      </c>
      <c r="E921" t="s">
        <v>623</v>
      </c>
      <c r="F921" t="s">
        <v>1423</v>
      </c>
      <c r="H921" t="s">
        <v>1670</v>
      </c>
      <c r="I921" t="s">
        <v>1670</v>
      </c>
      <c r="J921" t="s">
        <v>1674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f>N921-K921</f>
        <v>0</v>
      </c>
      <c r="R921">
        <f>O921-L921</f>
        <v>0</v>
      </c>
      <c r="S921">
        <f>P921-M921</f>
        <v>0</v>
      </c>
      <c r="T921">
        <v>0</v>
      </c>
      <c r="U921" s="14">
        <v>0</v>
      </c>
      <c r="V921" s="14">
        <v>0</v>
      </c>
      <c r="W921" s="16">
        <v>0</v>
      </c>
      <c r="X921" s="16">
        <v>0</v>
      </c>
    </row>
    <row r="922" spans="1:24" x14ac:dyDescent="0.2">
      <c r="A922" t="s">
        <v>13</v>
      </c>
      <c r="B922" t="s">
        <v>22</v>
      </c>
      <c r="C922" t="s">
        <v>46</v>
      </c>
      <c r="D922" t="s">
        <v>170</v>
      </c>
      <c r="E922" t="s">
        <v>608</v>
      </c>
      <c r="F922" t="s">
        <v>1424</v>
      </c>
      <c r="H922" t="s">
        <v>1670</v>
      </c>
      <c r="I922" t="s">
        <v>1672</v>
      </c>
      <c r="J922" t="s">
        <v>1674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f>N922-K922</f>
        <v>0</v>
      </c>
      <c r="R922">
        <f>O922-L922</f>
        <v>0</v>
      </c>
      <c r="S922">
        <f>P922-M922</f>
        <v>0</v>
      </c>
      <c r="T922">
        <v>0</v>
      </c>
      <c r="U922" s="14">
        <v>0</v>
      </c>
      <c r="V922" s="14">
        <v>0</v>
      </c>
      <c r="W922" s="16">
        <v>0</v>
      </c>
      <c r="X922" s="16">
        <v>0</v>
      </c>
    </row>
    <row r="923" spans="1:24" x14ac:dyDescent="0.2">
      <c r="A923" t="s">
        <v>14</v>
      </c>
      <c r="B923" s="35" t="s">
        <v>19</v>
      </c>
      <c r="C923" t="s">
        <v>42</v>
      </c>
      <c r="D923" t="s">
        <v>111</v>
      </c>
      <c r="E923" t="s">
        <v>624</v>
      </c>
      <c r="F923" t="s">
        <v>624</v>
      </c>
      <c r="H923" t="s">
        <v>1670</v>
      </c>
      <c r="I923" t="s">
        <v>1670</v>
      </c>
      <c r="J923" t="s">
        <v>1674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f>N923-K923</f>
        <v>0</v>
      </c>
      <c r="R923">
        <f>O923-L923</f>
        <v>0</v>
      </c>
      <c r="S923">
        <f>P923-M923</f>
        <v>0</v>
      </c>
      <c r="T923">
        <v>0</v>
      </c>
      <c r="U923" s="14">
        <v>0</v>
      </c>
      <c r="V923" s="14">
        <v>0</v>
      </c>
      <c r="W923" s="16">
        <v>0</v>
      </c>
      <c r="X923" s="16">
        <v>0</v>
      </c>
    </row>
    <row r="924" spans="1:24" x14ac:dyDescent="0.2">
      <c r="A924" t="s">
        <v>14</v>
      </c>
      <c r="B924" s="35" t="s">
        <v>19</v>
      </c>
      <c r="C924" t="s">
        <v>48</v>
      </c>
      <c r="D924" t="s">
        <v>130</v>
      </c>
      <c r="E924" t="s">
        <v>594</v>
      </c>
      <c r="F924" t="s">
        <v>1431</v>
      </c>
      <c r="H924" t="s">
        <v>1670</v>
      </c>
      <c r="I924" t="s">
        <v>1670</v>
      </c>
      <c r="J924" t="s">
        <v>1674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f>N924-K924</f>
        <v>0</v>
      </c>
      <c r="R924">
        <f>O924-L924</f>
        <v>0</v>
      </c>
      <c r="S924">
        <f>P924-M924</f>
        <v>0</v>
      </c>
      <c r="T924">
        <v>0</v>
      </c>
      <c r="U924" s="14">
        <v>0</v>
      </c>
      <c r="V924" s="14">
        <v>0</v>
      </c>
      <c r="W924" s="16">
        <v>0</v>
      </c>
      <c r="X924" s="16">
        <v>0</v>
      </c>
    </row>
    <row r="925" spans="1:24" x14ac:dyDescent="0.2">
      <c r="A925" t="s">
        <v>14</v>
      </c>
      <c r="B925" s="35" t="s">
        <v>19</v>
      </c>
      <c r="C925" t="s">
        <v>42</v>
      </c>
      <c r="D925" t="s">
        <v>114</v>
      </c>
      <c r="E925" t="s">
        <v>627</v>
      </c>
      <c r="F925" t="s">
        <v>1434</v>
      </c>
      <c r="H925" t="s">
        <v>1670</v>
      </c>
      <c r="I925" t="s">
        <v>1670</v>
      </c>
      <c r="J925" t="s">
        <v>1674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f>N925-K925</f>
        <v>0</v>
      </c>
      <c r="R925">
        <f>O925-L925</f>
        <v>0</v>
      </c>
      <c r="S925">
        <f>P925-M925</f>
        <v>0</v>
      </c>
      <c r="T925">
        <v>0</v>
      </c>
      <c r="U925" s="14">
        <v>0</v>
      </c>
      <c r="V925" s="14">
        <v>0</v>
      </c>
      <c r="W925" s="16">
        <v>0</v>
      </c>
      <c r="X925" s="16">
        <v>0</v>
      </c>
    </row>
    <row r="926" spans="1:24" x14ac:dyDescent="0.2">
      <c r="A926" t="s">
        <v>16</v>
      </c>
      <c r="B926" t="s">
        <v>22</v>
      </c>
      <c r="C926" t="s">
        <v>46</v>
      </c>
      <c r="D926" t="s">
        <v>211</v>
      </c>
      <c r="E926" t="s">
        <v>605</v>
      </c>
      <c r="F926" t="s">
        <v>1440</v>
      </c>
      <c r="G926" t="s">
        <v>1719</v>
      </c>
      <c r="H926" t="s">
        <v>1670</v>
      </c>
      <c r="I926" t="s">
        <v>1672</v>
      </c>
      <c r="J926" t="s">
        <v>1674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f>N926-K926</f>
        <v>0</v>
      </c>
      <c r="R926">
        <f>O926-L926</f>
        <v>0</v>
      </c>
      <c r="S926">
        <f>P926-M926</f>
        <v>0</v>
      </c>
      <c r="T926">
        <v>0</v>
      </c>
      <c r="U926" s="14">
        <v>0</v>
      </c>
      <c r="V926" s="14">
        <v>0</v>
      </c>
      <c r="W926" s="16">
        <v>0</v>
      </c>
      <c r="X926" s="16">
        <v>0</v>
      </c>
    </row>
    <row r="927" spans="1:24" x14ac:dyDescent="0.2">
      <c r="A927" t="s">
        <v>15</v>
      </c>
      <c r="B927" t="s">
        <v>24</v>
      </c>
      <c r="C927" t="s">
        <v>58</v>
      </c>
      <c r="D927" t="s">
        <v>148</v>
      </c>
      <c r="E927" t="s">
        <v>407</v>
      </c>
      <c r="F927" t="s">
        <v>938</v>
      </c>
      <c r="H927" t="s">
        <v>1669</v>
      </c>
      <c r="I927" t="s">
        <v>1670</v>
      </c>
      <c r="J927" t="s">
        <v>1674</v>
      </c>
      <c r="K927">
        <v>6</v>
      </c>
      <c r="L927">
        <v>1</v>
      </c>
      <c r="M927">
        <v>7</v>
      </c>
      <c r="N927">
        <v>4</v>
      </c>
      <c r="O927">
        <v>1</v>
      </c>
      <c r="P927">
        <v>5</v>
      </c>
      <c r="Q927">
        <f>N927-K927</f>
        <v>-2</v>
      </c>
      <c r="R927">
        <f>O927-L927</f>
        <v>0</v>
      </c>
      <c r="S927">
        <f>P927-M927</f>
        <v>-2</v>
      </c>
      <c r="T927">
        <v>16</v>
      </c>
      <c r="U927" s="14">
        <v>52900.54</v>
      </c>
      <c r="V927" s="14">
        <v>325</v>
      </c>
      <c r="W927" s="16">
        <v>1.7097919317450266E-4</v>
      </c>
      <c r="X927" s="16">
        <v>5.8858471635649763E-4</v>
      </c>
    </row>
    <row r="928" spans="1:24" x14ac:dyDescent="0.2">
      <c r="A928" t="s">
        <v>15</v>
      </c>
      <c r="B928" t="s">
        <v>24</v>
      </c>
      <c r="C928" t="s">
        <v>58</v>
      </c>
      <c r="D928" t="s">
        <v>149</v>
      </c>
      <c r="E928" t="s">
        <v>409</v>
      </c>
      <c r="F928" t="s">
        <v>409</v>
      </c>
      <c r="H928" t="s">
        <v>1669</v>
      </c>
      <c r="I928" t="s">
        <v>1670</v>
      </c>
      <c r="J928" t="s">
        <v>1674</v>
      </c>
      <c r="K928">
        <v>2</v>
      </c>
      <c r="L928">
        <v>0</v>
      </c>
      <c r="M928">
        <v>2</v>
      </c>
      <c r="N928">
        <v>0</v>
      </c>
      <c r="O928">
        <v>0</v>
      </c>
      <c r="P928">
        <v>0</v>
      </c>
      <c r="Q928">
        <f>N928-K928</f>
        <v>-2</v>
      </c>
      <c r="R928">
        <f>O928-L928</f>
        <v>0</v>
      </c>
      <c r="S928">
        <f>P928-M928</f>
        <v>-2</v>
      </c>
      <c r="T928">
        <v>20</v>
      </c>
      <c r="U928" s="14">
        <v>62800.86</v>
      </c>
      <c r="V928" s="14">
        <v>89</v>
      </c>
      <c r="W928" s="16">
        <v>2.029778972665477E-4</v>
      </c>
      <c r="X928" s="16">
        <v>1.6118166078685626E-4</v>
      </c>
    </row>
    <row r="929" spans="1:24" x14ac:dyDescent="0.2">
      <c r="A929" t="s">
        <v>15</v>
      </c>
      <c r="B929" t="s">
        <v>24</v>
      </c>
      <c r="C929" t="s">
        <v>58</v>
      </c>
      <c r="D929" t="s">
        <v>149</v>
      </c>
      <c r="E929" t="s">
        <v>410</v>
      </c>
      <c r="F929" t="s">
        <v>410</v>
      </c>
      <c r="H929" t="s">
        <v>1669</v>
      </c>
      <c r="I929" t="s">
        <v>1670</v>
      </c>
      <c r="J929" t="s">
        <v>1674</v>
      </c>
      <c r="K929">
        <v>2</v>
      </c>
      <c r="L929">
        <v>0</v>
      </c>
      <c r="M929">
        <v>2</v>
      </c>
      <c r="N929">
        <v>0</v>
      </c>
      <c r="O929">
        <v>0</v>
      </c>
      <c r="P929">
        <v>0</v>
      </c>
      <c r="Q929">
        <f>N929-K929</f>
        <v>-2</v>
      </c>
      <c r="R929">
        <f>O929-L929</f>
        <v>0</v>
      </c>
      <c r="S929">
        <f>P929-M929</f>
        <v>-2</v>
      </c>
      <c r="T929">
        <v>9</v>
      </c>
      <c r="U929" s="14">
        <v>29448.100000000002</v>
      </c>
      <c r="V929" s="14">
        <v>50</v>
      </c>
      <c r="W929" s="16">
        <v>9.5178846539601902E-5</v>
      </c>
      <c r="X929" s="16">
        <v>9.0551494824076551E-5</v>
      </c>
    </row>
    <row r="930" spans="1:24" x14ac:dyDescent="0.2">
      <c r="A930" t="s">
        <v>15</v>
      </c>
      <c r="B930" t="s">
        <v>24</v>
      </c>
      <c r="C930" t="s">
        <v>58</v>
      </c>
      <c r="D930" t="s">
        <v>149</v>
      </c>
      <c r="E930" t="s">
        <v>412</v>
      </c>
      <c r="F930" t="s">
        <v>950</v>
      </c>
      <c r="H930" t="s">
        <v>1669</v>
      </c>
      <c r="I930" t="s">
        <v>1670</v>
      </c>
      <c r="J930" t="s">
        <v>1674</v>
      </c>
      <c r="K930">
        <v>2</v>
      </c>
      <c r="L930">
        <v>0</v>
      </c>
      <c r="M930">
        <v>2</v>
      </c>
      <c r="N930">
        <v>0</v>
      </c>
      <c r="O930">
        <v>0</v>
      </c>
      <c r="P930">
        <v>0</v>
      </c>
      <c r="Q930">
        <f>N930-K930</f>
        <v>-2</v>
      </c>
      <c r="R930">
        <f>O930-L930</f>
        <v>0</v>
      </c>
      <c r="S930">
        <f>P930-M930</f>
        <v>-2</v>
      </c>
      <c r="T930">
        <v>3</v>
      </c>
      <c r="U930" s="14">
        <v>4142</v>
      </c>
      <c r="V930" s="14">
        <v>4</v>
      </c>
      <c r="W930" s="16">
        <v>1.3387307920274349E-5</v>
      </c>
      <c r="X930" s="16">
        <v>7.2441195859261247E-6</v>
      </c>
    </row>
    <row r="931" spans="1:24" x14ac:dyDescent="0.2">
      <c r="A931" t="s">
        <v>15</v>
      </c>
      <c r="B931" t="s">
        <v>24</v>
      </c>
      <c r="C931" t="s">
        <v>58</v>
      </c>
      <c r="D931" t="s">
        <v>149</v>
      </c>
      <c r="E931" t="s">
        <v>413</v>
      </c>
      <c r="F931" t="s">
        <v>954</v>
      </c>
      <c r="H931" t="s">
        <v>1669</v>
      </c>
      <c r="I931" t="s">
        <v>1670</v>
      </c>
      <c r="J931" t="s">
        <v>1674</v>
      </c>
      <c r="K931">
        <v>2</v>
      </c>
      <c r="L931">
        <v>0</v>
      </c>
      <c r="M931">
        <v>2</v>
      </c>
      <c r="N931">
        <v>0</v>
      </c>
      <c r="O931">
        <v>0</v>
      </c>
      <c r="P931">
        <v>0</v>
      </c>
      <c r="Q931">
        <f>N931-K931</f>
        <v>-2</v>
      </c>
      <c r="R931">
        <f>O931-L931</f>
        <v>0</v>
      </c>
      <c r="S931">
        <f>P931-M931</f>
        <v>-2</v>
      </c>
      <c r="T931">
        <v>2</v>
      </c>
      <c r="U931" s="14">
        <v>4262</v>
      </c>
      <c r="V931" s="14">
        <v>11</v>
      </c>
      <c r="W931" s="16">
        <v>1.3775158463594707E-5</v>
      </c>
      <c r="X931" s="16">
        <v>1.9921328861296842E-5</v>
      </c>
    </row>
    <row r="932" spans="1:24" x14ac:dyDescent="0.2">
      <c r="A932" t="s">
        <v>15</v>
      </c>
      <c r="B932" t="s">
        <v>24</v>
      </c>
      <c r="C932" t="s">
        <v>58</v>
      </c>
      <c r="D932" t="s">
        <v>149</v>
      </c>
      <c r="E932" t="s">
        <v>419</v>
      </c>
      <c r="F932" t="s">
        <v>419</v>
      </c>
      <c r="H932" t="s">
        <v>1669</v>
      </c>
      <c r="I932" t="s">
        <v>1670</v>
      </c>
      <c r="J932" t="s">
        <v>1674</v>
      </c>
      <c r="K932">
        <v>2</v>
      </c>
      <c r="L932">
        <v>0</v>
      </c>
      <c r="M932">
        <v>2</v>
      </c>
      <c r="N932">
        <v>0</v>
      </c>
      <c r="O932">
        <v>0</v>
      </c>
      <c r="P932">
        <v>0</v>
      </c>
      <c r="Q932">
        <f>N932-K932</f>
        <v>-2</v>
      </c>
      <c r="R932">
        <f>O932-L932</f>
        <v>0</v>
      </c>
      <c r="S932">
        <f>P932-M932</f>
        <v>-2</v>
      </c>
      <c r="T932">
        <v>9</v>
      </c>
      <c r="U932" s="14">
        <v>15479.27</v>
      </c>
      <c r="V932" s="14">
        <v>26</v>
      </c>
      <c r="W932" s="16">
        <v>5.0030360664187623E-5</v>
      </c>
      <c r="X932" s="16">
        <v>4.7086777308519806E-5</v>
      </c>
    </row>
    <row r="933" spans="1:24" x14ac:dyDescent="0.2">
      <c r="A933" t="s">
        <v>15</v>
      </c>
      <c r="B933" t="s">
        <v>24</v>
      </c>
      <c r="C933" t="s">
        <v>58</v>
      </c>
      <c r="D933" t="s">
        <v>149</v>
      </c>
      <c r="E933" t="s">
        <v>420</v>
      </c>
      <c r="F933" t="s">
        <v>420</v>
      </c>
      <c r="H933" t="s">
        <v>1669</v>
      </c>
      <c r="I933" t="s">
        <v>1670</v>
      </c>
      <c r="J933" t="s">
        <v>1674</v>
      </c>
      <c r="K933">
        <v>2</v>
      </c>
      <c r="L933">
        <v>0</v>
      </c>
      <c r="M933">
        <v>2</v>
      </c>
      <c r="N933">
        <v>0</v>
      </c>
      <c r="O933">
        <v>0</v>
      </c>
      <c r="P933">
        <v>0</v>
      </c>
      <c r="Q933">
        <f>N933-K933</f>
        <v>-2</v>
      </c>
      <c r="R933">
        <f>O933-L933</f>
        <v>0</v>
      </c>
      <c r="S933">
        <f>P933-M933</f>
        <v>-2</v>
      </c>
      <c r="T933">
        <v>7</v>
      </c>
      <c r="U933" s="14">
        <v>18215</v>
      </c>
      <c r="V933" s="14">
        <v>24</v>
      </c>
      <c r="W933" s="16">
        <v>5.8872480388169302E-5</v>
      </c>
      <c r="X933" s="16">
        <v>4.3464717515556745E-5</v>
      </c>
    </row>
    <row r="934" spans="1:24" x14ac:dyDescent="0.2">
      <c r="A934" t="s">
        <v>15</v>
      </c>
      <c r="B934" t="s">
        <v>24</v>
      </c>
      <c r="C934" t="s">
        <v>58</v>
      </c>
      <c r="D934" t="s">
        <v>150</v>
      </c>
      <c r="E934" t="s">
        <v>425</v>
      </c>
      <c r="F934" t="s">
        <v>973</v>
      </c>
      <c r="H934" t="s">
        <v>1669</v>
      </c>
      <c r="I934" t="s">
        <v>1670</v>
      </c>
      <c r="J934" t="s">
        <v>1674</v>
      </c>
      <c r="K934">
        <v>2</v>
      </c>
      <c r="L934">
        <v>0</v>
      </c>
      <c r="M934">
        <v>2</v>
      </c>
      <c r="N934">
        <v>0</v>
      </c>
      <c r="O934">
        <v>0</v>
      </c>
      <c r="P934">
        <v>0</v>
      </c>
      <c r="Q934">
        <f>N934-K934</f>
        <v>-2</v>
      </c>
      <c r="R934">
        <f>O934-L934</f>
        <v>0</v>
      </c>
      <c r="S934">
        <f>P934-M934</f>
        <v>-2</v>
      </c>
      <c r="T934">
        <v>0</v>
      </c>
      <c r="U934" s="14">
        <v>0</v>
      </c>
      <c r="V934" s="14">
        <v>0</v>
      </c>
      <c r="W934" s="16">
        <v>0</v>
      </c>
      <c r="X934" s="16">
        <v>0</v>
      </c>
    </row>
    <row r="935" spans="1:24" x14ac:dyDescent="0.2">
      <c r="A935" t="s">
        <v>14</v>
      </c>
      <c r="B935" s="35" t="s">
        <v>19</v>
      </c>
      <c r="C935" t="s">
        <v>27</v>
      </c>
      <c r="D935" t="s">
        <v>69</v>
      </c>
      <c r="E935" t="s">
        <v>255</v>
      </c>
      <c r="F935" t="s">
        <v>1443</v>
      </c>
      <c r="H935" t="s">
        <v>1670</v>
      </c>
      <c r="I935" t="s">
        <v>1670</v>
      </c>
      <c r="J935" t="s">
        <v>1674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f>N935-K935</f>
        <v>0</v>
      </c>
      <c r="R935">
        <f>O935-L935</f>
        <v>0</v>
      </c>
      <c r="S935">
        <f>P935-M935</f>
        <v>0</v>
      </c>
      <c r="T935">
        <v>0</v>
      </c>
      <c r="U935" s="14">
        <v>0</v>
      </c>
      <c r="V935" s="14">
        <v>0</v>
      </c>
      <c r="W935" s="16">
        <v>0</v>
      </c>
      <c r="X935" s="16">
        <v>0</v>
      </c>
    </row>
    <row r="936" spans="1:24" x14ac:dyDescent="0.2">
      <c r="A936" t="s">
        <v>12</v>
      </c>
      <c r="B936" s="35" t="s">
        <v>19</v>
      </c>
      <c r="C936" t="s">
        <v>27</v>
      </c>
      <c r="D936" t="s">
        <v>67</v>
      </c>
      <c r="E936" t="s">
        <v>623</v>
      </c>
      <c r="F936" t="s">
        <v>1450</v>
      </c>
      <c r="H936" t="s">
        <v>1670</v>
      </c>
      <c r="I936" t="s">
        <v>1670</v>
      </c>
      <c r="J936" t="s">
        <v>1674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f>N936-K936</f>
        <v>0</v>
      </c>
      <c r="R936">
        <f>O936-L936</f>
        <v>0</v>
      </c>
      <c r="S936">
        <f>P936-M936</f>
        <v>0</v>
      </c>
      <c r="T936">
        <v>0</v>
      </c>
      <c r="U936" s="14">
        <v>0</v>
      </c>
      <c r="V936" s="14">
        <v>0</v>
      </c>
      <c r="W936" s="16">
        <v>0</v>
      </c>
      <c r="X936" s="16">
        <v>0</v>
      </c>
    </row>
    <row r="937" spans="1:24" x14ac:dyDescent="0.2">
      <c r="A937" t="s">
        <v>17</v>
      </c>
      <c r="B937" t="s">
        <v>23</v>
      </c>
      <c r="C937" t="s">
        <v>60</v>
      </c>
      <c r="D937" t="s">
        <v>174</v>
      </c>
      <c r="E937" t="s">
        <v>478</v>
      </c>
      <c r="F937" t="s">
        <v>1063</v>
      </c>
      <c r="H937" t="s">
        <v>1669</v>
      </c>
      <c r="I937" t="s">
        <v>1670</v>
      </c>
      <c r="J937" t="s">
        <v>1674</v>
      </c>
      <c r="K937">
        <v>2</v>
      </c>
      <c r="L937">
        <v>0</v>
      </c>
      <c r="M937">
        <v>2</v>
      </c>
      <c r="N937">
        <v>0</v>
      </c>
      <c r="O937">
        <v>0</v>
      </c>
      <c r="P937">
        <v>0</v>
      </c>
      <c r="Q937">
        <f>N937-K937</f>
        <v>-2</v>
      </c>
      <c r="R937">
        <f>O937-L937</f>
        <v>0</v>
      </c>
      <c r="S937">
        <f>P937-M937</f>
        <v>-2</v>
      </c>
      <c r="T937">
        <v>0</v>
      </c>
      <c r="U937" s="14">
        <v>0</v>
      </c>
      <c r="V937" s="14">
        <v>0</v>
      </c>
      <c r="W937" s="16">
        <v>0</v>
      </c>
      <c r="X937" s="16">
        <v>0</v>
      </c>
    </row>
    <row r="938" spans="1:24" x14ac:dyDescent="0.2">
      <c r="A938" t="s">
        <v>16</v>
      </c>
      <c r="B938" t="s">
        <v>22</v>
      </c>
      <c r="C938" t="s">
        <v>46</v>
      </c>
      <c r="D938" t="s">
        <v>211</v>
      </c>
      <c r="E938" t="s">
        <v>612</v>
      </c>
      <c r="F938" t="s">
        <v>1453</v>
      </c>
      <c r="H938" t="s">
        <v>1670</v>
      </c>
      <c r="I938" t="s">
        <v>1672</v>
      </c>
      <c r="J938" t="s">
        <v>1673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f>N938-K938</f>
        <v>0</v>
      </c>
      <c r="R938">
        <f>O938-L938</f>
        <v>0</v>
      </c>
      <c r="S938">
        <f>P938-M938</f>
        <v>0</v>
      </c>
      <c r="T938">
        <v>0</v>
      </c>
      <c r="U938" s="14">
        <v>0</v>
      </c>
      <c r="V938" s="14">
        <v>0</v>
      </c>
      <c r="W938" s="16">
        <v>0</v>
      </c>
      <c r="X938" s="16">
        <v>0</v>
      </c>
    </row>
    <row r="939" spans="1:24" x14ac:dyDescent="0.2">
      <c r="A939" t="s">
        <v>14</v>
      </c>
      <c r="B939" s="35" t="s">
        <v>19</v>
      </c>
      <c r="C939" t="s">
        <v>42</v>
      </c>
      <c r="D939" t="s">
        <v>109</v>
      </c>
      <c r="E939" t="s">
        <v>633</v>
      </c>
      <c r="F939" t="s">
        <v>633</v>
      </c>
      <c r="H939" t="s">
        <v>1670</v>
      </c>
      <c r="I939" t="s">
        <v>1670</v>
      </c>
      <c r="J939" t="s">
        <v>1674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f>N939-K939</f>
        <v>0</v>
      </c>
      <c r="R939">
        <f>O939-L939</f>
        <v>0</v>
      </c>
      <c r="S939">
        <f>P939-M939</f>
        <v>0</v>
      </c>
      <c r="T939">
        <v>0</v>
      </c>
      <c r="U939" s="14">
        <v>0</v>
      </c>
      <c r="V939" s="14">
        <v>0</v>
      </c>
      <c r="W939" s="16">
        <v>0</v>
      </c>
      <c r="X939" s="16">
        <v>0</v>
      </c>
    </row>
    <row r="940" spans="1:24" x14ac:dyDescent="0.2">
      <c r="A940" t="s">
        <v>14</v>
      </c>
      <c r="B940" s="35" t="s">
        <v>19</v>
      </c>
      <c r="C940" t="s">
        <v>48</v>
      </c>
      <c r="D940" t="s">
        <v>130</v>
      </c>
      <c r="E940" t="s">
        <v>594</v>
      </c>
      <c r="F940" t="s">
        <v>1461</v>
      </c>
      <c r="H940" t="s">
        <v>1670</v>
      </c>
      <c r="I940" t="s">
        <v>1670</v>
      </c>
      <c r="J940" t="s">
        <v>1674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f>N940-K940</f>
        <v>0</v>
      </c>
      <c r="R940">
        <f>O940-L940</f>
        <v>0</v>
      </c>
      <c r="S940">
        <f>P940-M940</f>
        <v>0</v>
      </c>
      <c r="T940">
        <v>0</v>
      </c>
      <c r="U940" s="14">
        <v>0</v>
      </c>
      <c r="V940" s="14">
        <v>0</v>
      </c>
      <c r="W940" s="16">
        <v>0</v>
      </c>
      <c r="X940" s="16">
        <v>0</v>
      </c>
    </row>
    <row r="941" spans="1:24" x14ac:dyDescent="0.2">
      <c r="A941" t="s">
        <v>17</v>
      </c>
      <c r="B941" t="s">
        <v>24</v>
      </c>
      <c r="C941" t="s">
        <v>49</v>
      </c>
      <c r="D941" t="s">
        <v>133</v>
      </c>
      <c r="E941" t="s">
        <v>489</v>
      </c>
      <c r="F941" t="s">
        <v>1091</v>
      </c>
      <c r="H941" t="s">
        <v>1669</v>
      </c>
      <c r="I941" t="s">
        <v>1670</v>
      </c>
      <c r="J941" t="s">
        <v>1674</v>
      </c>
      <c r="K941">
        <v>2</v>
      </c>
      <c r="L941">
        <v>0</v>
      </c>
      <c r="M941">
        <v>2</v>
      </c>
      <c r="N941">
        <v>0</v>
      </c>
      <c r="O941">
        <v>0</v>
      </c>
      <c r="P941">
        <v>0</v>
      </c>
      <c r="Q941">
        <f>N941-K941</f>
        <v>-2</v>
      </c>
      <c r="R941">
        <f>O941-L941</f>
        <v>0</v>
      </c>
      <c r="S941">
        <f>P941-M941</f>
        <v>-2</v>
      </c>
      <c r="T941">
        <v>18</v>
      </c>
      <c r="U941" s="14">
        <v>51597.919999999998</v>
      </c>
      <c r="V941" s="14">
        <v>55</v>
      </c>
      <c r="W941" s="16">
        <v>1.6676901088500296E-4</v>
      </c>
      <c r="X941" s="16">
        <v>9.9606644306484218E-5</v>
      </c>
    </row>
    <row r="942" spans="1:24" x14ac:dyDescent="0.2">
      <c r="A942" t="s">
        <v>14</v>
      </c>
      <c r="B942" s="35" t="s">
        <v>19</v>
      </c>
      <c r="C942" t="s">
        <v>27</v>
      </c>
      <c r="D942" t="s">
        <v>136</v>
      </c>
      <c r="E942" t="s">
        <v>386</v>
      </c>
      <c r="F942" t="s">
        <v>1472</v>
      </c>
      <c r="H942" t="s">
        <v>1670</v>
      </c>
      <c r="I942" t="s">
        <v>1670</v>
      </c>
      <c r="J942" t="s">
        <v>1674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f>N942-K942</f>
        <v>0</v>
      </c>
      <c r="R942">
        <f>O942-L942</f>
        <v>0</v>
      </c>
      <c r="S942">
        <f>P942-M942</f>
        <v>0</v>
      </c>
      <c r="T942">
        <v>0</v>
      </c>
      <c r="U942" s="14">
        <v>0</v>
      </c>
      <c r="V942" s="14">
        <v>0</v>
      </c>
      <c r="W942" s="16">
        <v>0</v>
      </c>
      <c r="X942" s="16">
        <v>0</v>
      </c>
    </row>
    <row r="943" spans="1:24" x14ac:dyDescent="0.2">
      <c r="A943" t="s">
        <v>14</v>
      </c>
      <c r="B943" s="35" t="s">
        <v>19</v>
      </c>
      <c r="C943" t="s">
        <v>62</v>
      </c>
      <c r="D943" t="s">
        <v>218</v>
      </c>
      <c r="E943" t="s">
        <v>218</v>
      </c>
      <c r="F943" t="s">
        <v>218</v>
      </c>
      <c r="H943" t="s">
        <v>1670</v>
      </c>
      <c r="I943" t="s">
        <v>1670</v>
      </c>
      <c r="J943" t="s">
        <v>1673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f>N943-K943</f>
        <v>0</v>
      </c>
      <c r="R943">
        <f>O943-L943</f>
        <v>0</v>
      </c>
      <c r="S943">
        <f>P943-M943</f>
        <v>0</v>
      </c>
      <c r="T943">
        <v>0</v>
      </c>
      <c r="U943" s="14">
        <v>0</v>
      </c>
      <c r="V943" s="14">
        <v>0</v>
      </c>
      <c r="W943" s="16">
        <v>0</v>
      </c>
      <c r="X943" s="16">
        <v>0</v>
      </c>
    </row>
    <row r="944" spans="1:24" x14ac:dyDescent="0.2">
      <c r="A944" t="s">
        <v>14</v>
      </c>
      <c r="B944" s="35" t="s">
        <v>19</v>
      </c>
      <c r="C944" t="s">
        <v>48</v>
      </c>
      <c r="D944" t="s">
        <v>131</v>
      </c>
      <c r="E944" t="s">
        <v>374</v>
      </c>
      <c r="F944" t="s">
        <v>1476</v>
      </c>
      <c r="H944" t="s">
        <v>1670</v>
      </c>
      <c r="I944" t="s">
        <v>1670</v>
      </c>
      <c r="J944" t="s">
        <v>1674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f>N944-K944</f>
        <v>0</v>
      </c>
      <c r="R944">
        <f>O944-L944</f>
        <v>0</v>
      </c>
      <c r="S944">
        <f>P944-M944</f>
        <v>0</v>
      </c>
      <c r="T944">
        <v>0</v>
      </c>
      <c r="U944" s="14">
        <v>0</v>
      </c>
      <c r="V944" s="14">
        <v>0</v>
      </c>
      <c r="W944" s="16">
        <v>0</v>
      </c>
      <c r="X944" s="16">
        <v>0</v>
      </c>
    </row>
    <row r="945" spans="1:24" x14ac:dyDescent="0.2">
      <c r="A945" t="s">
        <v>16</v>
      </c>
      <c r="B945" t="s">
        <v>22</v>
      </c>
      <c r="C945" t="s">
        <v>39</v>
      </c>
      <c r="D945" t="s">
        <v>157</v>
      </c>
      <c r="E945" t="s">
        <v>440</v>
      </c>
      <c r="F945" t="s">
        <v>1484</v>
      </c>
      <c r="H945" t="s">
        <v>1670</v>
      </c>
      <c r="I945" t="s">
        <v>1670</v>
      </c>
      <c r="J945" t="s">
        <v>1674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f>N945-K945</f>
        <v>0</v>
      </c>
      <c r="R945">
        <f>O945-L945</f>
        <v>0</v>
      </c>
      <c r="S945">
        <f>P945-M945</f>
        <v>0</v>
      </c>
      <c r="T945">
        <v>0</v>
      </c>
      <c r="U945" s="14">
        <v>0</v>
      </c>
      <c r="V945" s="14">
        <v>0</v>
      </c>
      <c r="W945" s="16">
        <v>0</v>
      </c>
      <c r="X945" s="16">
        <v>0</v>
      </c>
    </row>
    <row r="946" spans="1:24" x14ac:dyDescent="0.2">
      <c r="A946" t="s">
        <v>16</v>
      </c>
      <c r="B946" t="s">
        <v>22</v>
      </c>
      <c r="C946" t="s">
        <v>46</v>
      </c>
      <c r="D946" t="s">
        <v>211</v>
      </c>
      <c r="E946" t="s">
        <v>602</v>
      </c>
      <c r="F946" t="s">
        <v>1485</v>
      </c>
      <c r="H946" t="s">
        <v>1670</v>
      </c>
      <c r="I946" t="s">
        <v>1672</v>
      </c>
      <c r="J946" t="s">
        <v>1674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f>N946-K946</f>
        <v>0</v>
      </c>
      <c r="R946">
        <f>O946-L946</f>
        <v>0</v>
      </c>
      <c r="S946">
        <f>P946-M946</f>
        <v>0</v>
      </c>
      <c r="T946">
        <v>0</v>
      </c>
      <c r="U946" s="14">
        <v>0</v>
      </c>
      <c r="V946" s="14">
        <v>0</v>
      </c>
      <c r="W946" s="16">
        <v>0</v>
      </c>
      <c r="X946" s="16">
        <v>0</v>
      </c>
    </row>
    <row r="947" spans="1:24" x14ac:dyDescent="0.2">
      <c r="A947" t="s">
        <v>17</v>
      </c>
      <c r="B947" t="s">
        <v>23</v>
      </c>
      <c r="C947" t="s">
        <v>61</v>
      </c>
      <c r="D947" t="s">
        <v>181</v>
      </c>
      <c r="E947" t="s">
        <v>498</v>
      </c>
      <c r="F947" t="s">
        <v>1107</v>
      </c>
      <c r="H947" t="s">
        <v>1669</v>
      </c>
      <c r="I947" t="s">
        <v>1671</v>
      </c>
      <c r="J947" t="s">
        <v>1674</v>
      </c>
      <c r="K947">
        <v>1</v>
      </c>
      <c r="L947">
        <v>1</v>
      </c>
      <c r="M947">
        <v>2</v>
      </c>
      <c r="N947">
        <v>0</v>
      </c>
      <c r="O947">
        <v>0</v>
      </c>
      <c r="P947">
        <v>0</v>
      </c>
      <c r="Q947">
        <f>N947-K947</f>
        <v>-1</v>
      </c>
      <c r="R947">
        <f>O947-L947</f>
        <v>-1</v>
      </c>
      <c r="S947">
        <f>P947-M947</f>
        <v>-2</v>
      </c>
      <c r="T947">
        <v>400</v>
      </c>
      <c r="U947" s="14">
        <v>4933470.839999998</v>
      </c>
      <c r="V947" s="14">
        <v>2361</v>
      </c>
      <c r="W947" s="16">
        <v>1.5945411214576176E-2</v>
      </c>
      <c r="X947" s="16">
        <v>4.2758415855928952E-3</v>
      </c>
    </row>
    <row r="948" spans="1:24" x14ac:dyDescent="0.2">
      <c r="A948" t="s">
        <v>17</v>
      </c>
      <c r="B948" t="s">
        <v>23</v>
      </c>
      <c r="C948" t="s">
        <v>61</v>
      </c>
      <c r="D948" t="s">
        <v>188</v>
      </c>
      <c r="E948" t="s">
        <v>507</v>
      </c>
      <c r="F948" t="s">
        <v>1119</v>
      </c>
      <c r="H948" t="s">
        <v>1669</v>
      </c>
      <c r="I948" t="s">
        <v>1671</v>
      </c>
      <c r="J948" t="s">
        <v>1674</v>
      </c>
      <c r="K948">
        <v>1</v>
      </c>
      <c r="L948">
        <v>1</v>
      </c>
      <c r="M948">
        <v>2</v>
      </c>
      <c r="N948">
        <v>0</v>
      </c>
      <c r="O948">
        <v>0</v>
      </c>
      <c r="P948">
        <v>0</v>
      </c>
      <c r="Q948">
        <f>N948-K948</f>
        <v>-1</v>
      </c>
      <c r="R948">
        <f>O948-L948</f>
        <v>-1</v>
      </c>
      <c r="S948">
        <f>P948-M948</f>
        <v>-2</v>
      </c>
      <c r="T948">
        <v>0</v>
      </c>
      <c r="U948" s="14">
        <v>0</v>
      </c>
      <c r="V948" s="14">
        <v>0</v>
      </c>
      <c r="W948" s="16">
        <v>0</v>
      </c>
      <c r="X948" s="16">
        <v>0</v>
      </c>
    </row>
    <row r="949" spans="1:24" x14ac:dyDescent="0.2">
      <c r="A949" t="s">
        <v>15</v>
      </c>
      <c r="B949" t="s">
        <v>24</v>
      </c>
      <c r="C949" t="s">
        <v>58</v>
      </c>
      <c r="D949" t="s">
        <v>148</v>
      </c>
      <c r="E949" t="s">
        <v>513</v>
      </c>
      <c r="F949" t="s">
        <v>1133</v>
      </c>
      <c r="H949" t="s">
        <v>1669</v>
      </c>
      <c r="I949" t="s">
        <v>1670</v>
      </c>
      <c r="J949" t="s">
        <v>1674</v>
      </c>
      <c r="K949">
        <v>0</v>
      </c>
      <c r="L949">
        <v>2</v>
      </c>
      <c r="M949">
        <v>2</v>
      </c>
      <c r="N949">
        <v>0</v>
      </c>
      <c r="O949">
        <v>0</v>
      </c>
      <c r="P949">
        <v>0</v>
      </c>
      <c r="Q949">
        <f>N949-K949</f>
        <v>0</v>
      </c>
      <c r="R949">
        <f>O949-L949</f>
        <v>-2</v>
      </c>
      <c r="S949">
        <f>P949-M949</f>
        <v>-2</v>
      </c>
      <c r="T949">
        <v>28</v>
      </c>
      <c r="U949" s="14">
        <v>26257.37</v>
      </c>
      <c r="V949" s="14">
        <v>76</v>
      </c>
      <c r="W949" s="16">
        <v>8.4866126838863845E-5</v>
      </c>
      <c r="X949" s="16">
        <v>1.3763827213259636E-4</v>
      </c>
    </row>
    <row r="950" spans="1:24" x14ac:dyDescent="0.2">
      <c r="A950" t="s">
        <v>16</v>
      </c>
      <c r="B950" t="s">
        <v>22</v>
      </c>
      <c r="C950" t="s">
        <v>39</v>
      </c>
      <c r="D950" t="s">
        <v>194</v>
      </c>
      <c r="E950" t="s">
        <v>543</v>
      </c>
      <c r="F950" t="s">
        <v>1190</v>
      </c>
      <c r="H950" t="s">
        <v>1669</v>
      </c>
      <c r="I950" t="s">
        <v>1670</v>
      </c>
      <c r="J950" t="s">
        <v>1674</v>
      </c>
      <c r="K950">
        <v>0</v>
      </c>
      <c r="L950">
        <v>2</v>
      </c>
      <c r="M950">
        <v>2</v>
      </c>
      <c r="N950">
        <v>0</v>
      </c>
      <c r="O950">
        <v>0</v>
      </c>
      <c r="P950">
        <v>0</v>
      </c>
      <c r="Q950">
        <f>N950-K950</f>
        <v>0</v>
      </c>
      <c r="R950">
        <f>O950-L950</f>
        <v>-2</v>
      </c>
      <c r="S950">
        <f>P950-M950</f>
        <v>-2</v>
      </c>
      <c r="T950">
        <v>11</v>
      </c>
      <c r="U950" s="14">
        <v>14811.249999999998</v>
      </c>
      <c r="V950" s="14">
        <v>158</v>
      </c>
      <c r="W950" s="16">
        <v>4.7871261331280403E-5</v>
      </c>
      <c r="X950" s="16">
        <v>2.8614272364408191E-4</v>
      </c>
    </row>
    <row r="951" spans="1:24" x14ac:dyDescent="0.2">
      <c r="A951" t="s">
        <v>17</v>
      </c>
      <c r="B951" t="s">
        <v>23</v>
      </c>
      <c r="C951" t="s">
        <v>61</v>
      </c>
      <c r="D951" t="s">
        <v>196</v>
      </c>
      <c r="E951" t="s">
        <v>545</v>
      </c>
      <c r="F951" t="s">
        <v>1210</v>
      </c>
      <c r="H951" t="s">
        <v>1669</v>
      </c>
      <c r="I951" t="s">
        <v>1670</v>
      </c>
      <c r="J951" t="s">
        <v>1674</v>
      </c>
      <c r="K951">
        <v>0</v>
      </c>
      <c r="L951">
        <v>2</v>
      </c>
      <c r="M951">
        <v>2</v>
      </c>
      <c r="N951">
        <v>0</v>
      </c>
      <c r="O951">
        <v>0</v>
      </c>
      <c r="P951">
        <v>0</v>
      </c>
      <c r="Q951">
        <f>N951-K951</f>
        <v>0</v>
      </c>
      <c r="R951">
        <f>O951-L951</f>
        <v>-2</v>
      </c>
      <c r="S951">
        <f>P951-M951</f>
        <v>-2</v>
      </c>
      <c r="T951">
        <v>0</v>
      </c>
      <c r="U951" s="14">
        <v>0</v>
      </c>
      <c r="V951" s="14">
        <v>0</v>
      </c>
      <c r="W951" s="16">
        <v>0</v>
      </c>
      <c r="X951" s="16">
        <v>0</v>
      </c>
    </row>
    <row r="952" spans="1:24" x14ac:dyDescent="0.2">
      <c r="A952" t="s">
        <v>17</v>
      </c>
      <c r="B952" t="s">
        <v>23</v>
      </c>
      <c r="C952" t="s">
        <v>61</v>
      </c>
      <c r="D952" t="s">
        <v>197</v>
      </c>
      <c r="E952" t="s">
        <v>566</v>
      </c>
      <c r="F952" t="s">
        <v>1238</v>
      </c>
      <c r="H952" t="s">
        <v>1669</v>
      </c>
      <c r="I952" t="s">
        <v>1671</v>
      </c>
      <c r="J952" t="s">
        <v>1674</v>
      </c>
      <c r="K952">
        <v>0</v>
      </c>
      <c r="L952">
        <v>2</v>
      </c>
      <c r="M952">
        <v>2</v>
      </c>
      <c r="N952">
        <v>0</v>
      </c>
      <c r="O952">
        <v>0</v>
      </c>
      <c r="P952">
        <v>0</v>
      </c>
      <c r="Q952">
        <f>N952-K952</f>
        <v>0</v>
      </c>
      <c r="R952">
        <f>O952-L952</f>
        <v>-2</v>
      </c>
      <c r="S952">
        <f>P952-M952</f>
        <v>-2</v>
      </c>
      <c r="T952">
        <v>12</v>
      </c>
      <c r="U952" s="14">
        <v>44525.020000000004</v>
      </c>
      <c r="V952" s="14">
        <v>27</v>
      </c>
      <c r="W952" s="16">
        <v>1.4390877665291499E-4</v>
      </c>
      <c r="X952" s="16">
        <v>4.8897807205001337E-5</v>
      </c>
    </row>
    <row r="953" spans="1:24" x14ac:dyDescent="0.2">
      <c r="A953" t="s">
        <v>17</v>
      </c>
      <c r="B953" t="s">
        <v>23</v>
      </c>
      <c r="C953" t="s">
        <v>45</v>
      </c>
      <c r="D953" t="s">
        <v>200</v>
      </c>
      <c r="E953" t="s">
        <v>567</v>
      </c>
      <c r="F953" t="s">
        <v>1239</v>
      </c>
      <c r="H953" t="s">
        <v>1669</v>
      </c>
      <c r="I953" t="s">
        <v>1671</v>
      </c>
      <c r="J953" t="s">
        <v>1674</v>
      </c>
      <c r="K953">
        <v>0</v>
      </c>
      <c r="L953">
        <v>2</v>
      </c>
      <c r="M953">
        <v>2</v>
      </c>
      <c r="N953">
        <v>0</v>
      </c>
      <c r="O953">
        <v>0</v>
      </c>
      <c r="P953">
        <v>0</v>
      </c>
      <c r="Q953">
        <f>N953-K953</f>
        <v>0</v>
      </c>
      <c r="R953">
        <f>O953-L953</f>
        <v>-2</v>
      </c>
      <c r="S953">
        <f>P953-M953</f>
        <v>-2</v>
      </c>
      <c r="T953">
        <v>183</v>
      </c>
      <c r="U953" s="14">
        <v>364277.65</v>
      </c>
      <c r="V953" s="14">
        <v>547</v>
      </c>
      <c r="W953" s="16">
        <v>1.1773773705996927E-3</v>
      </c>
      <c r="X953" s="16">
        <v>9.9063335337539762E-4</v>
      </c>
    </row>
    <row r="954" spans="1:24" x14ac:dyDescent="0.2">
      <c r="A954" t="s">
        <v>17</v>
      </c>
      <c r="B954" t="s">
        <v>23</v>
      </c>
      <c r="C954" t="s">
        <v>61</v>
      </c>
      <c r="D954" t="s">
        <v>196</v>
      </c>
      <c r="E954" t="s">
        <v>545</v>
      </c>
      <c r="F954" t="s">
        <v>1247</v>
      </c>
      <c r="H954" t="s">
        <v>1669</v>
      </c>
      <c r="I954" t="s">
        <v>1671</v>
      </c>
      <c r="J954" t="s">
        <v>1674</v>
      </c>
      <c r="K954">
        <v>0</v>
      </c>
      <c r="L954">
        <v>2</v>
      </c>
      <c r="M954">
        <v>2</v>
      </c>
      <c r="N954">
        <v>0</v>
      </c>
      <c r="O954">
        <v>0</v>
      </c>
      <c r="P954">
        <v>0</v>
      </c>
      <c r="Q954">
        <f>N954-K954</f>
        <v>0</v>
      </c>
      <c r="R954">
        <f>O954-L954</f>
        <v>-2</v>
      </c>
      <c r="S954">
        <f>P954-M954</f>
        <v>-2</v>
      </c>
      <c r="T954">
        <v>9</v>
      </c>
      <c r="U954" s="14">
        <v>12227.630000000001</v>
      </c>
      <c r="V954" s="14">
        <v>26</v>
      </c>
      <c r="W954" s="16">
        <v>3.9520774491835886E-5</v>
      </c>
      <c r="X954" s="16">
        <v>4.7086777308519806E-5</v>
      </c>
    </row>
    <row r="955" spans="1:24" x14ac:dyDescent="0.2">
      <c r="A955" t="s">
        <v>17</v>
      </c>
      <c r="B955" t="s">
        <v>24</v>
      </c>
      <c r="C955" t="s">
        <v>49</v>
      </c>
      <c r="D955" t="s">
        <v>152</v>
      </c>
      <c r="E955" t="s">
        <v>484</v>
      </c>
      <c r="F955" t="s">
        <v>1254</v>
      </c>
      <c r="H955" t="s">
        <v>1669</v>
      </c>
      <c r="I955" t="s">
        <v>1671</v>
      </c>
      <c r="J955" t="s">
        <v>1674</v>
      </c>
      <c r="K955">
        <v>0</v>
      </c>
      <c r="L955">
        <v>2</v>
      </c>
      <c r="M955">
        <v>2</v>
      </c>
      <c r="N955">
        <v>0</v>
      </c>
      <c r="O955">
        <v>0</v>
      </c>
      <c r="P955">
        <v>0</v>
      </c>
      <c r="Q955">
        <f>N955-K955</f>
        <v>0</v>
      </c>
      <c r="R955">
        <f>O955-L955</f>
        <v>-2</v>
      </c>
      <c r="S955">
        <f>P955-M955</f>
        <v>-2</v>
      </c>
      <c r="T955">
        <v>4</v>
      </c>
      <c r="U955" s="14">
        <v>9847.869999999999</v>
      </c>
      <c r="V955" s="14">
        <v>16</v>
      </c>
      <c r="W955" s="16">
        <v>3.1829181083735426E-5</v>
      </c>
      <c r="X955" s="16">
        <v>2.8976478343704499E-5</v>
      </c>
    </row>
    <row r="956" spans="1:24" x14ac:dyDescent="0.2">
      <c r="A956" t="s">
        <v>15</v>
      </c>
      <c r="B956" t="s">
        <v>24</v>
      </c>
      <c r="C956" t="s">
        <v>58</v>
      </c>
      <c r="D956" t="s">
        <v>148</v>
      </c>
      <c r="E956" t="s">
        <v>406</v>
      </c>
      <c r="F956" t="s">
        <v>1309</v>
      </c>
      <c r="H956" t="s">
        <v>1669</v>
      </c>
      <c r="I956" t="s">
        <v>1670</v>
      </c>
      <c r="J956" t="s">
        <v>1674</v>
      </c>
      <c r="K956">
        <v>0</v>
      </c>
      <c r="L956">
        <v>2</v>
      </c>
      <c r="M956">
        <v>2</v>
      </c>
      <c r="N956">
        <v>0</v>
      </c>
      <c r="O956">
        <v>0</v>
      </c>
      <c r="P956">
        <v>0</v>
      </c>
      <c r="Q956">
        <f>N956-K956</f>
        <v>0</v>
      </c>
      <c r="R956">
        <f>O956-L956</f>
        <v>-2</v>
      </c>
      <c r="S956">
        <f>P956-M956</f>
        <v>-2</v>
      </c>
      <c r="T956">
        <v>0</v>
      </c>
      <c r="U956" s="14">
        <v>0</v>
      </c>
      <c r="V956" s="14">
        <v>0</v>
      </c>
      <c r="W956" s="16">
        <v>0</v>
      </c>
      <c r="X956" s="16">
        <v>0</v>
      </c>
    </row>
    <row r="957" spans="1:24" x14ac:dyDescent="0.2">
      <c r="A957" t="s">
        <v>12</v>
      </c>
      <c r="B957" t="s">
        <v>18</v>
      </c>
      <c r="C957" t="s">
        <v>32</v>
      </c>
      <c r="D957" t="s">
        <v>83</v>
      </c>
      <c r="E957" t="s">
        <v>61</v>
      </c>
      <c r="F957" t="s">
        <v>1314</v>
      </c>
      <c r="H957" t="s">
        <v>1669</v>
      </c>
      <c r="I957" t="s">
        <v>1670</v>
      </c>
      <c r="J957" t="s">
        <v>1674</v>
      </c>
      <c r="K957">
        <v>0</v>
      </c>
      <c r="L957">
        <v>2</v>
      </c>
      <c r="M957">
        <v>2</v>
      </c>
      <c r="N957">
        <v>0</v>
      </c>
      <c r="O957">
        <v>0</v>
      </c>
      <c r="P957">
        <v>0</v>
      </c>
      <c r="Q957">
        <f>N957-K957</f>
        <v>0</v>
      </c>
      <c r="R957">
        <f>O957-L957</f>
        <v>-2</v>
      </c>
      <c r="S957">
        <f>P957-M957</f>
        <v>-2</v>
      </c>
      <c r="T957">
        <v>2</v>
      </c>
      <c r="U957" s="14">
        <v>5367</v>
      </c>
      <c r="V957" s="14">
        <v>8</v>
      </c>
      <c r="W957" s="16">
        <v>1.7346615550003001E-5</v>
      </c>
      <c r="X957" s="16">
        <v>1.4488239171852249E-5</v>
      </c>
    </row>
    <row r="958" spans="1:24" x14ac:dyDescent="0.2">
      <c r="A958" t="s">
        <v>17</v>
      </c>
      <c r="B958" t="s">
        <v>23</v>
      </c>
      <c r="C958" t="s">
        <v>61</v>
      </c>
      <c r="D958" t="s">
        <v>196</v>
      </c>
      <c r="E958" t="s">
        <v>570</v>
      </c>
      <c r="F958" t="s">
        <v>1325</v>
      </c>
      <c r="H958" t="s">
        <v>1669</v>
      </c>
      <c r="I958" t="s">
        <v>1671</v>
      </c>
      <c r="J958" t="s">
        <v>1674</v>
      </c>
      <c r="K958">
        <v>0</v>
      </c>
      <c r="L958">
        <v>2</v>
      </c>
      <c r="M958">
        <v>2</v>
      </c>
      <c r="N958">
        <v>0</v>
      </c>
      <c r="O958">
        <v>0</v>
      </c>
      <c r="P958">
        <v>0</v>
      </c>
      <c r="Q958">
        <f>N958-K958</f>
        <v>0</v>
      </c>
      <c r="R958">
        <f>O958-L958</f>
        <v>-2</v>
      </c>
      <c r="S958">
        <f>P958-M958</f>
        <v>-2</v>
      </c>
      <c r="T958">
        <v>0</v>
      </c>
      <c r="U958" s="14">
        <v>0</v>
      </c>
      <c r="V958" s="14">
        <v>0</v>
      </c>
      <c r="W958" s="16">
        <v>0</v>
      </c>
      <c r="X958" s="16">
        <v>0</v>
      </c>
    </row>
    <row r="959" spans="1:24" x14ac:dyDescent="0.2">
      <c r="A959" t="s">
        <v>15</v>
      </c>
      <c r="B959" t="s">
        <v>24</v>
      </c>
      <c r="C959" t="s">
        <v>58</v>
      </c>
      <c r="D959" t="s">
        <v>148</v>
      </c>
      <c r="E959" t="s">
        <v>407</v>
      </c>
      <c r="F959" t="s">
        <v>1221</v>
      </c>
      <c r="H959" t="s">
        <v>1669</v>
      </c>
      <c r="I959" t="s">
        <v>1670</v>
      </c>
      <c r="J959" t="s">
        <v>1674</v>
      </c>
      <c r="K959">
        <v>0</v>
      </c>
      <c r="L959">
        <v>3</v>
      </c>
      <c r="M959">
        <v>3</v>
      </c>
      <c r="N959">
        <v>1</v>
      </c>
      <c r="O959">
        <v>0</v>
      </c>
      <c r="P959">
        <v>1</v>
      </c>
      <c r="Q959">
        <f>N959-K959</f>
        <v>1</v>
      </c>
      <c r="R959">
        <f>O959-L959</f>
        <v>-3</v>
      </c>
      <c r="S959">
        <f>P959-M959</f>
        <v>-2</v>
      </c>
      <c r="T959">
        <v>2</v>
      </c>
      <c r="U959" s="14">
        <v>865.37</v>
      </c>
      <c r="V959" s="14">
        <v>11</v>
      </c>
      <c r="W959" s="16">
        <v>2.7969518722761501E-6</v>
      </c>
      <c r="X959" s="16">
        <v>1.9921328861296842E-5</v>
      </c>
    </row>
    <row r="960" spans="1:24" x14ac:dyDescent="0.2">
      <c r="A960" t="s">
        <v>17</v>
      </c>
      <c r="B960" t="s">
        <v>23</v>
      </c>
      <c r="C960" t="s">
        <v>45</v>
      </c>
      <c r="D960" t="s">
        <v>202</v>
      </c>
      <c r="E960" t="s">
        <v>202</v>
      </c>
      <c r="F960" t="s">
        <v>1263</v>
      </c>
      <c r="H960" t="s">
        <v>1669</v>
      </c>
      <c r="I960" t="s">
        <v>1671</v>
      </c>
      <c r="J960" t="s">
        <v>1674</v>
      </c>
      <c r="K960">
        <v>0</v>
      </c>
      <c r="L960">
        <v>3</v>
      </c>
      <c r="M960">
        <v>3</v>
      </c>
      <c r="N960">
        <v>1</v>
      </c>
      <c r="O960">
        <v>0</v>
      </c>
      <c r="P960">
        <v>1</v>
      </c>
      <c r="Q960">
        <f>N960-K960</f>
        <v>1</v>
      </c>
      <c r="R960">
        <f>O960-L960</f>
        <v>-3</v>
      </c>
      <c r="S960">
        <f>P960-M960</f>
        <v>-2</v>
      </c>
      <c r="T960">
        <v>39</v>
      </c>
      <c r="U960" s="14">
        <v>81758.450000000012</v>
      </c>
      <c r="V960" s="14">
        <v>86</v>
      </c>
      <c r="W960" s="16">
        <v>2.6425049377941926E-4</v>
      </c>
      <c r="X960" s="16">
        <v>1.5574857109741167E-4</v>
      </c>
    </row>
    <row r="961" spans="1:24" x14ac:dyDescent="0.2">
      <c r="A961" t="s">
        <v>15</v>
      </c>
      <c r="B961" t="s">
        <v>24</v>
      </c>
      <c r="C961" t="s">
        <v>58</v>
      </c>
      <c r="D961" t="s">
        <v>150</v>
      </c>
      <c r="E961" t="s">
        <v>135</v>
      </c>
      <c r="F961" t="s">
        <v>964</v>
      </c>
      <c r="H961" t="s">
        <v>1669</v>
      </c>
      <c r="I961" t="s">
        <v>1670</v>
      </c>
      <c r="J961" t="s">
        <v>1674</v>
      </c>
      <c r="K961">
        <v>2</v>
      </c>
      <c r="L961">
        <v>6</v>
      </c>
      <c r="M961">
        <v>8</v>
      </c>
      <c r="N961">
        <v>6</v>
      </c>
      <c r="O961">
        <v>0</v>
      </c>
      <c r="P961">
        <v>6</v>
      </c>
      <c r="Q961">
        <f>N961-K961</f>
        <v>4</v>
      </c>
      <c r="R961">
        <f>O961-L961</f>
        <v>-6</v>
      </c>
      <c r="S961">
        <f>P961-M961</f>
        <v>-2</v>
      </c>
      <c r="T961">
        <v>33</v>
      </c>
      <c r="U961" s="14">
        <v>41995.9</v>
      </c>
      <c r="V961" s="14">
        <v>293</v>
      </c>
      <c r="W961" s="16">
        <v>1.357344386018951E-4</v>
      </c>
      <c r="X961" s="16">
        <v>5.3063175966908864E-4</v>
      </c>
    </row>
    <row r="962" spans="1:24" x14ac:dyDescent="0.2">
      <c r="A962" t="s">
        <v>13</v>
      </c>
      <c r="B962" t="s">
        <v>22</v>
      </c>
      <c r="C962" t="s">
        <v>37</v>
      </c>
      <c r="D962" t="s">
        <v>98</v>
      </c>
      <c r="E962" t="s">
        <v>643</v>
      </c>
      <c r="F962" t="s">
        <v>643</v>
      </c>
      <c r="H962" t="s">
        <v>1670</v>
      </c>
      <c r="I962" t="s">
        <v>1670</v>
      </c>
      <c r="J962" t="s">
        <v>1674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f>N962-K962</f>
        <v>0</v>
      </c>
      <c r="R962">
        <f>O962-L962</f>
        <v>0</v>
      </c>
      <c r="S962">
        <f>P962-M962</f>
        <v>0</v>
      </c>
      <c r="T962">
        <v>0</v>
      </c>
      <c r="U962" s="14">
        <v>0</v>
      </c>
      <c r="V962" s="14">
        <v>0</v>
      </c>
      <c r="W962" s="16">
        <v>0</v>
      </c>
      <c r="X962" s="16">
        <v>0</v>
      </c>
    </row>
    <row r="963" spans="1:24" x14ac:dyDescent="0.2">
      <c r="A963" t="s">
        <v>12</v>
      </c>
      <c r="B963" t="s">
        <v>19</v>
      </c>
      <c r="C963" t="s">
        <v>28</v>
      </c>
      <c r="D963" t="s">
        <v>71</v>
      </c>
      <c r="E963" t="s">
        <v>260</v>
      </c>
      <c r="F963" t="s">
        <v>712</v>
      </c>
      <c r="H963" t="s">
        <v>1669</v>
      </c>
      <c r="I963" t="s">
        <v>1671</v>
      </c>
      <c r="J963" t="s">
        <v>1674</v>
      </c>
      <c r="K963">
        <v>21</v>
      </c>
      <c r="L963">
        <v>2</v>
      </c>
      <c r="M963">
        <v>23</v>
      </c>
      <c r="N963">
        <v>18</v>
      </c>
      <c r="O963">
        <v>2</v>
      </c>
      <c r="P963">
        <v>20</v>
      </c>
      <c r="Q963">
        <f>N963-K963</f>
        <v>-3</v>
      </c>
      <c r="R963">
        <f>O963-L963</f>
        <v>0</v>
      </c>
      <c r="S963">
        <f>P963-M963</f>
        <v>-3</v>
      </c>
      <c r="T963">
        <v>419</v>
      </c>
      <c r="U963" s="14">
        <v>2654883.1000000006</v>
      </c>
      <c r="V963" s="14">
        <v>3619</v>
      </c>
      <c r="W963" s="16">
        <v>8.5808154398919652E-3</v>
      </c>
      <c r="X963" s="16">
        <v>6.5541171953666611E-3</v>
      </c>
    </row>
    <row r="964" spans="1:24" x14ac:dyDescent="0.2">
      <c r="A964" t="s">
        <v>14</v>
      </c>
      <c r="B964" s="35" t="s">
        <v>19</v>
      </c>
      <c r="C964" t="s">
        <v>42</v>
      </c>
      <c r="D964" t="s">
        <v>112</v>
      </c>
      <c r="E964" t="s">
        <v>644</v>
      </c>
      <c r="F964" t="s">
        <v>644</v>
      </c>
      <c r="H964" t="s">
        <v>1670</v>
      </c>
      <c r="I964" t="s">
        <v>1670</v>
      </c>
      <c r="J964" t="s">
        <v>1674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f>N964-K964</f>
        <v>0</v>
      </c>
      <c r="R964">
        <f>O964-L964</f>
        <v>0</v>
      </c>
      <c r="S964">
        <f>P964-M964</f>
        <v>0</v>
      </c>
      <c r="T964">
        <v>0</v>
      </c>
      <c r="U964" s="14">
        <v>0</v>
      </c>
      <c r="V964" s="14">
        <v>0</v>
      </c>
      <c r="W964" s="16">
        <v>0</v>
      </c>
      <c r="X964" s="16">
        <v>0</v>
      </c>
    </row>
    <row r="965" spans="1:24" x14ac:dyDescent="0.2">
      <c r="A965" t="s">
        <v>13</v>
      </c>
      <c r="B965" t="s">
        <v>20</v>
      </c>
      <c r="C965" t="s">
        <v>33</v>
      </c>
      <c r="D965" t="s">
        <v>88</v>
      </c>
      <c r="E965" t="s">
        <v>300</v>
      </c>
      <c r="F965" t="s">
        <v>786</v>
      </c>
      <c r="H965" t="s">
        <v>1669</v>
      </c>
      <c r="I965" t="s">
        <v>1670</v>
      </c>
      <c r="J965" t="s">
        <v>1674</v>
      </c>
      <c r="K965">
        <v>3</v>
      </c>
      <c r="L965">
        <v>0</v>
      </c>
      <c r="M965">
        <v>3</v>
      </c>
      <c r="N965">
        <v>0</v>
      </c>
      <c r="O965">
        <v>0</v>
      </c>
      <c r="P965">
        <v>0</v>
      </c>
      <c r="Q965">
        <f>N965-K965</f>
        <v>-3</v>
      </c>
      <c r="R965">
        <f>O965-L965</f>
        <v>0</v>
      </c>
      <c r="S965">
        <f>P965-M965</f>
        <v>-3</v>
      </c>
      <c r="T965">
        <v>5</v>
      </c>
      <c r="U965" s="14">
        <v>15192.1</v>
      </c>
      <c r="V965" s="14">
        <v>18</v>
      </c>
      <c r="W965" s="16">
        <v>4.9102201993143395E-5</v>
      </c>
      <c r="X965" s="16">
        <v>3.259853813666756E-5</v>
      </c>
    </row>
    <row r="966" spans="1:24" x14ac:dyDescent="0.2">
      <c r="A966" t="s">
        <v>13</v>
      </c>
      <c r="B966" t="s">
        <v>20</v>
      </c>
      <c r="C966" t="s">
        <v>33</v>
      </c>
      <c r="D966" t="s">
        <v>88</v>
      </c>
      <c r="E966" t="s">
        <v>303</v>
      </c>
      <c r="F966" t="s">
        <v>795</v>
      </c>
      <c r="H966" t="s">
        <v>1669</v>
      </c>
      <c r="I966" t="s">
        <v>1670</v>
      </c>
      <c r="J966" t="s">
        <v>1674</v>
      </c>
      <c r="K966">
        <v>3</v>
      </c>
      <c r="L966">
        <v>0</v>
      </c>
      <c r="M966">
        <v>3</v>
      </c>
      <c r="N966">
        <v>0</v>
      </c>
      <c r="O966">
        <v>0</v>
      </c>
      <c r="P966">
        <v>0</v>
      </c>
      <c r="Q966">
        <f>N966-K966</f>
        <v>-3</v>
      </c>
      <c r="R966">
        <f>O966-L966</f>
        <v>0</v>
      </c>
      <c r="S966">
        <f>P966-M966</f>
        <v>-3</v>
      </c>
      <c r="T966">
        <v>0</v>
      </c>
      <c r="U966" s="14">
        <v>0</v>
      </c>
      <c r="V966" s="14">
        <v>0</v>
      </c>
      <c r="W966" s="16">
        <v>0</v>
      </c>
      <c r="X966" s="16">
        <v>0</v>
      </c>
    </row>
    <row r="967" spans="1:24" x14ac:dyDescent="0.2">
      <c r="A967" t="s">
        <v>13</v>
      </c>
      <c r="B967" t="s">
        <v>22</v>
      </c>
      <c r="C967" t="s">
        <v>36</v>
      </c>
      <c r="D967" t="s">
        <v>89</v>
      </c>
      <c r="E967" t="s">
        <v>305</v>
      </c>
      <c r="F967" t="s">
        <v>800</v>
      </c>
      <c r="H967" t="s">
        <v>1669</v>
      </c>
      <c r="I967" t="s">
        <v>1670</v>
      </c>
      <c r="J967" t="s">
        <v>1674</v>
      </c>
      <c r="K967">
        <v>6</v>
      </c>
      <c r="L967">
        <v>0</v>
      </c>
      <c r="M967">
        <v>6</v>
      </c>
      <c r="N967">
        <v>3</v>
      </c>
      <c r="O967">
        <v>0</v>
      </c>
      <c r="P967">
        <v>3</v>
      </c>
      <c r="Q967">
        <f>N967-K967</f>
        <v>-3</v>
      </c>
      <c r="R967">
        <f>O967-L967</f>
        <v>0</v>
      </c>
      <c r="S967">
        <f>P967-M967</f>
        <v>-3</v>
      </c>
      <c r="T967">
        <v>6</v>
      </c>
      <c r="U967" s="14">
        <v>26893.689999999995</v>
      </c>
      <c r="V967" s="14">
        <v>18</v>
      </c>
      <c r="W967" s="16">
        <v>8.6922768986577248E-5</v>
      </c>
      <c r="X967" s="16">
        <v>3.259853813666756E-5</v>
      </c>
    </row>
    <row r="968" spans="1:24" x14ac:dyDescent="0.2">
      <c r="A968" t="s">
        <v>13</v>
      </c>
      <c r="B968" t="s">
        <v>22</v>
      </c>
      <c r="C968" t="s">
        <v>36</v>
      </c>
      <c r="D968" t="s">
        <v>89</v>
      </c>
      <c r="E968" t="s">
        <v>306</v>
      </c>
      <c r="F968" t="s">
        <v>802</v>
      </c>
      <c r="H968" t="s">
        <v>1669</v>
      </c>
      <c r="I968" t="s">
        <v>1670</v>
      </c>
      <c r="J968" t="s">
        <v>1674</v>
      </c>
      <c r="K968">
        <v>3</v>
      </c>
      <c r="L968">
        <v>0</v>
      </c>
      <c r="M968">
        <v>3</v>
      </c>
      <c r="N968">
        <v>0</v>
      </c>
      <c r="O968">
        <v>0</v>
      </c>
      <c r="P968">
        <v>0</v>
      </c>
      <c r="Q968">
        <f>N968-K968</f>
        <v>-3</v>
      </c>
      <c r="R968">
        <f>O968-L968</f>
        <v>0</v>
      </c>
      <c r="S968">
        <f>P968-M968</f>
        <v>-3</v>
      </c>
      <c r="T968">
        <v>0</v>
      </c>
      <c r="U968" s="14">
        <v>0</v>
      </c>
      <c r="V968" s="14">
        <v>0</v>
      </c>
      <c r="W968" s="16">
        <v>0</v>
      </c>
      <c r="X968" s="16">
        <v>0</v>
      </c>
    </row>
    <row r="969" spans="1:24" x14ac:dyDescent="0.2">
      <c r="A969" t="s">
        <v>14</v>
      </c>
      <c r="B969" s="35" t="s">
        <v>19</v>
      </c>
      <c r="C969" t="s">
        <v>48</v>
      </c>
      <c r="D969" t="s">
        <v>130</v>
      </c>
      <c r="E969" t="s">
        <v>373</v>
      </c>
      <c r="F969" t="s">
        <v>1494</v>
      </c>
      <c r="H969" t="s">
        <v>1670</v>
      </c>
      <c r="I969" t="s">
        <v>1670</v>
      </c>
      <c r="J969" t="s">
        <v>1674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f>N969-K969</f>
        <v>0</v>
      </c>
      <c r="R969">
        <f>O969-L969</f>
        <v>0</v>
      </c>
      <c r="S969">
        <f>P969-M969</f>
        <v>0</v>
      </c>
      <c r="T969">
        <v>0</v>
      </c>
      <c r="U969" s="14">
        <v>0</v>
      </c>
      <c r="V969" s="14">
        <v>0</v>
      </c>
      <c r="W969" s="16">
        <v>0</v>
      </c>
      <c r="X969" s="16">
        <v>0</v>
      </c>
    </row>
    <row r="970" spans="1:24" x14ac:dyDescent="0.2">
      <c r="A970" t="s">
        <v>14</v>
      </c>
      <c r="B970" s="35" t="s">
        <v>19</v>
      </c>
      <c r="C970" t="s">
        <v>42</v>
      </c>
      <c r="D970" t="s">
        <v>114</v>
      </c>
      <c r="E970" t="s">
        <v>627</v>
      </c>
      <c r="F970" t="s">
        <v>1503</v>
      </c>
      <c r="H970" t="s">
        <v>1670</v>
      </c>
      <c r="I970" t="s">
        <v>1670</v>
      </c>
      <c r="J970" t="s">
        <v>1674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f>N970-K970</f>
        <v>0</v>
      </c>
      <c r="R970">
        <f>O970-L970</f>
        <v>0</v>
      </c>
      <c r="S970">
        <f>P970-M970</f>
        <v>0</v>
      </c>
      <c r="T970">
        <v>0</v>
      </c>
      <c r="U970" s="14">
        <v>0</v>
      </c>
      <c r="V970" s="14">
        <v>0</v>
      </c>
      <c r="W970" s="16">
        <v>0</v>
      </c>
      <c r="X970" s="16">
        <v>0</v>
      </c>
    </row>
    <row r="971" spans="1:24" x14ac:dyDescent="0.2">
      <c r="A971" t="s">
        <v>14</v>
      </c>
      <c r="B971" s="35" t="s">
        <v>19</v>
      </c>
      <c r="C971" t="s">
        <v>52</v>
      </c>
      <c r="D971" t="s">
        <v>139</v>
      </c>
      <c r="E971" t="s">
        <v>648</v>
      </c>
      <c r="F971" t="s">
        <v>1505</v>
      </c>
      <c r="H971" t="s">
        <v>1670</v>
      </c>
      <c r="I971" t="s">
        <v>1670</v>
      </c>
      <c r="J971" t="s">
        <v>1674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f>N971-K971</f>
        <v>0</v>
      </c>
      <c r="R971">
        <f>O971-L971</f>
        <v>0</v>
      </c>
      <c r="S971">
        <f>P971-M971</f>
        <v>0</v>
      </c>
      <c r="T971">
        <v>0</v>
      </c>
      <c r="U971" s="14">
        <v>0</v>
      </c>
      <c r="V971" s="14">
        <v>0</v>
      </c>
      <c r="W971" s="16">
        <v>0</v>
      </c>
      <c r="X971" s="16">
        <v>0</v>
      </c>
    </row>
    <row r="972" spans="1:24" x14ac:dyDescent="0.2">
      <c r="A972" t="s">
        <v>13</v>
      </c>
      <c r="B972" t="s">
        <v>22</v>
      </c>
      <c r="C972" t="s">
        <v>40</v>
      </c>
      <c r="D972" t="s">
        <v>107</v>
      </c>
      <c r="E972" t="s">
        <v>475</v>
      </c>
      <c r="F972" t="s">
        <v>1509</v>
      </c>
      <c r="H972" t="s">
        <v>1670</v>
      </c>
      <c r="I972" t="s">
        <v>1670</v>
      </c>
      <c r="J972" t="s">
        <v>1674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f>N972-K972</f>
        <v>0</v>
      </c>
      <c r="R972">
        <f>O972-L972</f>
        <v>0</v>
      </c>
      <c r="S972">
        <f>P972-M972</f>
        <v>0</v>
      </c>
      <c r="T972">
        <v>0</v>
      </c>
      <c r="U972" s="14">
        <v>0</v>
      </c>
      <c r="V972" s="14">
        <v>0</v>
      </c>
      <c r="W972" s="16">
        <v>0</v>
      </c>
      <c r="X972" s="16">
        <v>0</v>
      </c>
    </row>
    <row r="973" spans="1:24" x14ac:dyDescent="0.2">
      <c r="A973" t="s">
        <v>13</v>
      </c>
      <c r="B973" t="s">
        <v>22</v>
      </c>
      <c r="C973" t="s">
        <v>46</v>
      </c>
      <c r="D973" t="s">
        <v>170</v>
      </c>
      <c r="E973" t="s">
        <v>608</v>
      </c>
      <c r="F973" t="s">
        <v>1511</v>
      </c>
      <c r="H973" t="s">
        <v>1670</v>
      </c>
      <c r="I973" t="s">
        <v>1672</v>
      </c>
      <c r="J973" t="s">
        <v>1674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f>N973-K973</f>
        <v>0</v>
      </c>
      <c r="R973">
        <f>O973-L973</f>
        <v>0</v>
      </c>
      <c r="S973">
        <f>P973-M973</f>
        <v>0</v>
      </c>
      <c r="T973">
        <v>0</v>
      </c>
      <c r="U973" s="14">
        <v>0</v>
      </c>
      <c r="V973" s="14">
        <v>0</v>
      </c>
      <c r="W973" s="16">
        <v>0</v>
      </c>
      <c r="X973" s="16">
        <v>0</v>
      </c>
    </row>
    <row r="974" spans="1:24" x14ac:dyDescent="0.2">
      <c r="A974" t="s">
        <v>13</v>
      </c>
      <c r="B974" t="s">
        <v>22</v>
      </c>
      <c r="C974" t="s">
        <v>46</v>
      </c>
      <c r="D974" t="s">
        <v>170</v>
      </c>
      <c r="E974" t="s">
        <v>636</v>
      </c>
      <c r="F974" t="s">
        <v>1523</v>
      </c>
      <c r="H974" t="s">
        <v>1670</v>
      </c>
      <c r="I974" t="s">
        <v>1671</v>
      </c>
      <c r="J974" t="s">
        <v>1674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f>N974-K974</f>
        <v>0</v>
      </c>
      <c r="R974">
        <f>O974-L974</f>
        <v>0</v>
      </c>
      <c r="S974">
        <f>P974-M974</f>
        <v>0</v>
      </c>
      <c r="T974">
        <v>0</v>
      </c>
      <c r="U974" s="14">
        <v>0</v>
      </c>
      <c r="V974" s="14">
        <v>0</v>
      </c>
      <c r="W974" s="16">
        <v>0</v>
      </c>
      <c r="X974" s="16">
        <v>0</v>
      </c>
    </row>
    <row r="975" spans="1:24" x14ac:dyDescent="0.2">
      <c r="A975" t="s">
        <v>14</v>
      </c>
      <c r="B975" s="35" t="s">
        <v>19</v>
      </c>
      <c r="C975" t="s">
        <v>27</v>
      </c>
      <c r="D975" t="s">
        <v>210</v>
      </c>
      <c r="E975" t="s">
        <v>609</v>
      </c>
      <c r="F975" t="s">
        <v>1534</v>
      </c>
      <c r="H975" t="s">
        <v>1670</v>
      </c>
      <c r="I975" t="s">
        <v>1670</v>
      </c>
      <c r="J975" t="s">
        <v>1674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f>N975-K975</f>
        <v>0</v>
      </c>
      <c r="R975">
        <f>O975-L975</f>
        <v>0</v>
      </c>
      <c r="S975">
        <f>P975-M975</f>
        <v>0</v>
      </c>
      <c r="T975">
        <v>0</v>
      </c>
      <c r="U975" s="14">
        <v>0</v>
      </c>
      <c r="V975" s="14">
        <v>0</v>
      </c>
      <c r="W975" s="16">
        <v>0</v>
      </c>
      <c r="X975" s="16">
        <v>0</v>
      </c>
    </row>
    <row r="976" spans="1:24" x14ac:dyDescent="0.2">
      <c r="A976" t="s">
        <v>16</v>
      </c>
      <c r="B976" t="s">
        <v>22</v>
      </c>
      <c r="C976" t="s">
        <v>39</v>
      </c>
      <c r="D976" t="s">
        <v>156</v>
      </c>
      <c r="E976" t="s">
        <v>663</v>
      </c>
      <c r="F976" t="s">
        <v>1551</v>
      </c>
      <c r="H976" t="s">
        <v>1670</v>
      </c>
      <c r="I976" t="s">
        <v>1670</v>
      </c>
      <c r="J976" t="s">
        <v>1673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f>N976-K976</f>
        <v>0</v>
      </c>
      <c r="R976">
        <f>O976-L976</f>
        <v>0</v>
      </c>
      <c r="S976">
        <f>P976-M976</f>
        <v>0</v>
      </c>
      <c r="T976">
        <v>0</v>
      </c>
      <c r="U976" s="14">
        <v>0</v>
      </c>
      <c r="V976" s="14">
        <v>0</v>
      </c>
      <c r="W976" s="16">
        <v>0</v>
      </c>
      <c r="X976" s="16">
        <v>0</v>
      </c>
    </row>
    <row r="977" spans="1:24" x14ac:dyDescent="0.2">
      <c r="A977" t="s">
        <v>13</v>
      </c>
      <c r="B977" t="s">
        <v>22</v>
      </c>
      <c r="C977" t="s">
        <v>46</v>
      </c>
      <c r="D977" t="s">
        <v>170</v>
      </c>
      <c r="E977" t="s">
        <v>636</v>
      </c>
      <c r="F977" t="s">
        <v>1552</v>
      </c>
      <c r="H977" t="s">
        <v>1670</v>
      </c>
      <c r="I977" t="s">
        <v>1671</v>
      </c>
      <c r="J977" t="s">
        <v>1674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f>N977-K977</f>
        <v>0</v>
      </c>
      <c r="R977">
        <f>O977-L977</f>
        <v>0</v>
      </c>
      <c r="S977">
        <f>P977-M977</f>
        <v>0</v>
      </c>
      <c r="T977">
        <v>0</v>
      </c>
      <c r="U977" s="14">
        <v>0</v>
      </c>
      <c r="V977" s="14">
        <v>0</v>
      </c>
      <c r="W977" s="16">
        <v>0</v>
      </c>
      <c r="X977" s="16">
        <v>0</v>
      </c>
    </row>
    <row r="978" spans="1:24" x14ac:dyDescent="0.2">
      <c r="A978" t="s">
        <v>14</v>
      </c>
      <c r="B978" s="35" t="s">
        <v>19</v>
      </c>
      <c r="C978" t="s">
        <v>42</v>
      </c>
      <c r="D978" t="s">
        <v>111</v>
      </c>
      <c r="E978" t="s">
        <v>354</v>
      </c>
      <c r="F978" t="s">
        <v>1559</v>
      </c>
      <c r="H978" t="s">
        <v>1670</v>
      </c>
      <c r="I978" t="s">
        <v>1670</v>
      </c>
      <c r="J978" t="s">
        <v>1674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f>N978-K978</f>
        <v>0</v>
      </c>
      <c r="R978">
        <f>O978-L978</f>
        <v>0</v>
      </c>
      <c r="S978">
        <f>P978-M978</f>
        <v>0</v>
      </c>
      <c r="T978">
        <v>0</v>
      </c>
      <c r="U978" s="14">
        <v>0</v>
      </c>
      <c r="V978" s="14">
        <v>0</v>
      </c>
      <c r="W978" s="16">
        <v>0</v>
      </c>
      <c r="X978" s="16">
        <v>0</v>
      </c>
    </row>
    <row r="979" spans="1:24" x14ac:dyDescent="0.2">
      <c r="A979" t="s">
        <v>13</v>
      </c>
      <c r="B979" t="s">
        <v>22</v>
      </c>
      <c r="C979" t="s">
        <v>46</v>
      </c>
      <c r="D979" t="s">
        <v>170</v>
      </c>
      <c r="E979" t="s">
        <v>468</v>
      </c>
      <c r="F979" t="s">
        <v>1562</v>
      </c>
      <c r="H979" t="s">
        <v>1670</v>
      </c>
      <c r="I979" t="s">
        <v>1671</v>
      </c>
      <c r="J979" t="s">
        <v>1674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f>N979-K979</f>
        <v>0</v>
      </c>
      <c r="R979">
        <f>O979-L979</f>
        <v>0</v>
      </c>
      <c r="S979">
        <f>P979-M979</f>
        <v>0</v>
      </c>
      <c r="T979">
        <v>0</v>
      </c>
      <c r="U979" s="14">
        <v>0</v>
      </c>
      <c r="V979" s="14">
        <v>0</v>
      </c>
      <c r="W979" s="16">
        <v>0</v>
      </c>
      <c r="X979" s="16">
        <v>0</v>
      </c>
    </row>
    <row r="980" spans="1:24" x14ac:dyDescent="0.2">
      <c r="A980" t="s">
        <v>16</v>
      </c>
      <c r="B980" t="s">
        <v>22</v>
      </c>
      <c r="C980" t="s">
        <v>46</v>
      </c>
      <c r="D980" t="s">
        <v>170</v>
      </c>
      <c r="E980" t="s">
        <v>664</v>
      </c>
      <c r="F980" t="s">
        <v>1563</v>
      </c>
      <c r="H980" t="s">
        <v>1670</v>
      </c>
      <c r="I980" t="s">
        <v>1672</v>
      </c>
      <c r="J980" t="s">
        <v>1674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f>N980-K980</f>
        <v>0</v>
      </c>
      <c r="R980">
        <f>O980-L980</f>
        <v>0</v>
      </c>
      <c r="S980">
        <f>P980-M980</f>
        <v>0</v>
      </c>
      <c r="T980">
        <v>0</v>
      </c>
      <c r="U980" s="14">
        <v>0</v>
      </c>
      <c r="V980" s="14">
        <v>0</v>
      </c>
      <c r="W980" s="16">
        <v>0</v>
      </c>
      <c r="X980" s="16">
        <v>0</v>
      </c>
    </row>
    <row r="981" spans="1:24" x14ac:dyDescent="0.2">
      <c r="A981" t="s">
        <v>15</v>
      </c>
      <c r="B981" t="s">
        <v>24</v>
      </c>
      <c r="C981" t="s">
        <v>58</v>
      </c>
      <c r="D981" t="s">
        <v>148</v>
      </c>
      <c r="E981" t="s">
        <v>406</v>
      </c>
      <c r="F981" t="s">
        <v>929</v>
      </c>
      <c r="H981" t="s">
        <v>1669</v>
      </c>
      <c r="I981" t="s">
        <v>1670</v>
      </c>
      <c r="J981" t="s">
        <v>1674</v>
      </c>
      <c r="K981">
        <v>3</v>
      </c>
      <c r="L981">
        <v>0</v>
      </c>
      <c r="M981">
        <v>3</v>
      </c>
      <c r="N981">
        <v>0</v>
      </c>
      <c r="O981">
        <v>0</v>
      </c>
      <c r="P981">
        <v>0</v>
      </c>
      <c r="Q981">
        <f>N981-K981</f>
        <v>-3</v>
      </c>
      <c r="R981">
        <f>O981-L981</f>
        <v>0</v>
      </c>
      <c r="S981">
        <f>P981-M981</f>
        <v>-3</v>
      </c>
      <c r="T981">
        <v>0</v>
      </c>
      <c r="U981" s="14">
        <v>0</v>
      </c>
      <c r="V981" s="14">
        <v>0</v>
      </c>
      <c r="W981" s="16">
        <v>0</v>
      </c>
      <c r="X981" s="16">
        <v>0</v>
      </c>
    </row>
    <row r="982" spans="1:24" x14ac:dyDescent="0.2">
      <c r="A982" t="s">
        <v>15</v>
      </c>
      <c r="B982" t="s">
        <v>24</v>
      </c>
      <c r="C982" t="s">
        <v>58</v>
      </c>
      <c r="D982" t="s">
        <v>148</v>
      </c>
      <c r="E982" t="s">
        <v>407</v>
      </c>
      <c r="F982" t="s">
        <v>949</v>
      </c>
      <c r="H982" t="s">
        <v>1669</v>
      </c>
      <c r="I982" t="s">
        <v>1670</v>
      </c>
      <c r="J982" t="s">
        <v>1674</v>
      </c>
      <c r="K982">
        <v>3</v>
      </c>
      <c r="L982">
        <v>0</v>
      </c>
      <c r="M982">
        <v>3</v>
      </c>
      <c r="N982">
        <v>0</v>
      </c>
      <c r="O982">
        <v>0</v>
      </c>
      <c r="P982">
        <v>0</v>
      </c>
      <c r="Q982">
        <f>N982-K982</f>
        <v>-3</v>
      </c>
      <c r="R982">
        <f>O982-L982</f>
        <v>0</v>
      </c>
      <c r="S982">
        <f>P982-M982</f>
        <v>-3</v>
      </c>
      <c r="T982">
        <v>0</v>
      </c>
      <c r="U982" s="14">
        <v>0</v>
      </c>
      <c r="V982" s="14">
        <v>0</v>
      </c>
      <c r="W982" s="16">
        <v>0</v>
      </c>
      <c r="X982" s="16">
        <v>0</v>
      </c>
    </row>
    <row r="983" spans="1:24" x14ac:dyDescent="0.2">
      <c r="A983" t="s">
        <v>15</v>
      </c>
      <c r="B983" t="s">
        <v>24</v>
      </c>
      <c r="C983" t="s">
        <v>58</v>
      </c>
      <c r="D983" t="s">
        <v>149</v>
      </c>
      <c r="E983" t="s">
        <v>408</v>
      </c>
      <c r="F983" t="s">
        <v>408</v>
      </c>
      <c r="H983" t="s">
        <v>1669</v>
      </c>
      <c r="I983" t="s">
        <v>1670</v>
      </c>
      <c r="J983" t="s">
        <v>1674</v>
      </c>
      <c r="K983">
        <v>18</v>
      </c>
      <c r="L983">
        <v>2</v>
      </c>
      <c r="M983">
        <v>20</v>
      </c>
      <c r="N983">
        <v>15</v>
      </c>
      <c r="O983">
        <v>2</v>
      </c>
      <c r="P983">
        <v>17</v>
      </c>
      <c r="Q983">
        <f>N983-K983</f>
        <v>-3</v>
      </c>
      <c r="R983">
        <f>O983-L983</f>
        <v>0</v>
      </c>
      <c r="S983">
        <f>P983-M983</f>
        <v>-3</v>
      </c>
      <c r="T983">
        <v>81</v>
      </c>
      <c r="U983" s="14">
        <v>145644.06000000003</v>
      </c>
      <c r="V983" s="14">
        <v>276</v>
      </c>
      <c r="W983" s="16">
        <v>4.7073439835318995E-4</v>
      </c>
      <c r="X983" s="16">
        <v>4.9984425142890259E-4</v>
      </c>
    </row>
    <row r="984" spans="1:24" x14ac:dyDescent="0.2">
      <c r="A984" t="s">
        <v>15</v>
      </c>
      <c r="B984" t="s">
        <v>24</v>
      </c>
      <c r="C984" t="s">
        <v>58</v>
      </c>
      <c r="D984" t="s">
        <v>149</v>
      </c>
      <c r="E984" t="s">
        <v>413</v>
      </c>
      <c r="F984" t="s">
        <v>956</v>
      </c>
      <c r="H984" t="s">
        <v>1669</v>
      </c>
      <c r="I984" t="s">
        <v>1670</v>
      </c>
      <c r="J984" t="s">
        <v>1674</v>
      </c>
      <c r="K984">
        <v>3</v>
      </c>
      <c r="L984">
        <v>0</v>
      </c>
      <c r="M984">
        <v>3</v>
      </c>
      <c r="N984">
        <v>0</v>
      </c>
      <c r="O984">
        <v>0</v>
      </c>
      <c r="P984">
        <v>0</v>
      </c>
      <c r="Q984">
        <f>N984-K984</f>
        <v>-3</v>
      </c>
      <c r="R984">
        <f>O984-L984</f>
        <v>0</v>
      </c>
      <c r="S984">
        <f>P984-M984</f>
        <v>-3</v>
      </c>
      <c r="T984">
        <v>1</v>
      </c>
      <c r="U984" s="14">
        <v>728.97</v>
      </c>
      <c r="V984" s="14">
        <v>4</v>
      </c>
      <c r="W984" s="16">
        <v>2.3560950880353435E-6</v>
      </c>
      <c r="X984" s="16">
        <v>7.2441195859261247E-6</v>
      </c>
    </row>
    <row r="985" spans="1:24" x14ac:dyDescent="0.2">
      <c r="A985" t="s">
        <v>14</v>
      </c>
      <c r="B985" s="35" t="s">
        <v>19</v>
      </c>
      <c r="C985" t="s">
        <v>27</v>
      </c>
      <c r="D985" t="s">
        <v>67</v>
      </c>
      <c r="E985" t="s">
        <v>669</v>
      </c>
      <c r="F985" t="s">
        <v>669</v>
      </c>
      <c r="H985" t="s">
        <v>1670</v>
      </c>
      <c r="I985" t="s">
        <v>1670</v>
      </c>
      <c r="J985" t="s">
        <v>1674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f>N985-K985</f>
        <v>0</v>
      </c>
      <c r="R985">
        <f>O985-L985</f>
        <v>0</v>
      </c>
      <c r="S985">
        <f>P985-M985</f>
        <v>0</v>
      </c>
      <c r="T985">
        <v>0</v>
      </c>
      <c r="U985" s="14">
        <v>0</v>
      </c>
      <c r="V985" s="14">
        <v>0</v>
      </c>
      <c r="W985" s="16">
        <v>0</v>
      </c>
      <c r="X985" s="16">
        <v>0</v>
      </c>
    </row>
    <row r="986" spans="1:24" x14ac:dyDescent="0.2">
      <c r="A986" t="s">
        <v>14</v>
      </c>
      <c r="B986" s="35" t="s">
        <v>19</v>
      </c>
      <c r="C986" t="s">
        <v>62</v>
      </c>
      <c r="D986" t="s">
        <v>225</v>
      </c>
      <c r="E986" t="s">
        <v>225</v>
      </c>
      <c r="F986" t="s">
        <v>225</v>
      </c>
      <c r="H986" t="s">
        <v>1670</v>
      </c>
      <c r="I986" t="s">
        <v>1670</v>
      </c>
      <c r="J986" t="s">
        <v>1673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f>N986-K986</f>
        <v>0</v>
      </c>
      <c r="R986">
        <f>O986-L986</f>
        <v>0</v>
      </c>
      <c r="S986">
        <f>P986-M986</f>
        <v>0</v>
      </c>
      <c r="T986">
        <v>0</v>
      </c>
      <c r="U986" s="14">
        <v>0</v>
      </c>
      <c r="V986" s="14">
        <v>0</v>
      </c>
      <c r="W986" s="16">
        <v>0</v>
      </c>
      <c r="X986" s="16">
        <v>0</v>
      </c>
    </row>
    <row r="987" spans="1:24" x14ac:dyDescent="0.2">
      <c r="A987" t="s">
        <v>14</v>
      </c>
      <c r="B987" s="35" t="s">
        <v>19</v>
      </c>
      <c r="C987" t="s">
        <v>52</v>
      </c>
      <c r="D987" t="s">
        <v>140</v>
      </c>
      <c r="E987" t="s">
        <v>672</v>
      </c>
      <c r="F987" t="s">
        <v>1582</v>
      </c>
      <c r="H987" t="s">
        <v>1670</v>
      </c>
      <c r="I987" t="s">
        <v>1670</v>
      </c>
      <c r="J987" t="s">
        <v>1674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f>N987-K987</f>
        <v>0</v>
      </c>
      <c r="R987">
        <f>O987-L987</f>
        <v>0</v>
      </c>
      <c r="S987">
        <f>P987-M987</f>
        <v>0</v>
      </c>
      <c r="T987">
        <v>0</v>
      </c>
      <c r="U987" s="14">
        <v>0</v>
      </c>
      <c r="V987" s="14">
        <v>0</v>
      </c>
      <c r="W987" s="16">
        <v>0</v>
      </c>
      <c r="X987" s="16">
        <v>0</v>
      </c>
    </row>
    <row r="988" spans="1:24" x14ac:dyDescent="0.2">
      <c r="A988" t="s">
        <v>16</v>
      </c>
      <c r="B988" t="s">
        <v>22</v>
      </c>
      <c r="C988" t="s">
        <v>59</v>
      </c>
      <c r="D988" t="s">
        <v>172</v>
      </c>
      <c r="E988" t="s">
        <v>473</v>
      </c>
      <c r="F988" t="s">
        <v>1054</v>
      </c>
      <c r="H988" t="s">
        <v>1669</v>
      </c>
      <c r="I988" t="s">
        <v>1670</v>
      </c>
      <c r="J988" t="s">
        <v>1674</v>
      </c>
      <c r="K988">
        <v>13</v>
      </c>
      <c r="L988">
        <v>0</v>
      </c>
      <c r="M988">
        <v>13</v>
      </c>
      <c r="N988">
        <v>10</v>
      </c>
      <c r="O988">
        <v>0</v>
      </c>
      <c r="P988">
        <v>10</v>
      </c>
      <c r="Q988">
        <f>N988-K988</f>
        <v>-3</v>
      </c>
      <c r="R988">
        <f>O988-L988</f>
        <v>0</v>
      </c>
      <c r="S988">
        <f>P988-M988</f>
        <v>-3</v>
      </c>
      <c r="T988">
        <v>0</v>
      </c>
      <c r="U988" s="14">
        <v>0</v>
      </c>
      <c r="V988" s="14">
        <v>0</v>
      </c>
      <c r="W988" s="16">
        <v>0</v>
      </c>
      <c r="X988" s="16">
        <v>0</v>
      </c>
    </row>
    <row r="989" spans="1:24" x14ac:dyDescent="0.2">
      <c r="A989" t="s">
        <v>17</v>
      </c>
      <c r="B989" t="s">
        <v>23</v>
      </c>
      <c r="C989" t="s">
        <v>60</v>
      </c>
      <c r="D989" t="s">
        <v>175</v>
      </c>
      <c r="E989" t="s">
        <v>480</v>
      </c>
      <c r="F989" t="s">
        <v>1067</v>
      </c>
      <c r="H989" t="s">
        <v>1669</v>
      </c>
      <c r="I989" t="s">
        <v>1671</v>
      </c>
      <c r="J989" t="s">
        <v>1674</v>
      </c>
      <c r="K989">
        <v>3</v>
      </c>
      <c r="L989">
        <v>0</v>
      </c>
      <c r="M989">
        <v>3</v>
      </c>
      <c r="N989">
        <v>0</v>
      </c>
      <c r="O989">
        <v>0</v>
      </c>
      <c r="P989">
        <v>0</v>
      </c>
      <c r="Q989">
        <f>N989-K989</f>
        <v>-3</v>
      </c>
      <c r="R989">
        <f>O989-L989</f>
        <v>0</v>
      </c>
      <c r="S989">
        <f>P989-M989</f>
        <v>-3</v>
      </c>
      <c r="T989">
        <v>831</v>
      </c>
      <c r="U989" s="14">
        <v>1489660.4200000004</v>
      </c>
      <c r="V989" s="14">
        <v>1636</v>
      </c>
      <c r="W989" s="16">
        <v>4.814713360498604E-3</v>
      </c>
      <c r="X989" s="16">
        <v>2.9628449106437848E-3</v>
      </c>
    </row>
    <row r="990" spans="1:24" x14ac:dyDescent="0.2">
      <c r="A990" t="s">
        <v>14</v>
      </c>
      <c r="B990" s="35" t="s">
        <v>19</v>
      </c>
      <c r="C990" t="s">
        <v>48</v>
      </c>
      <c r="D990" t="s">
        <v>129</v>
      </c>
      <c r="E990" t="s">
        <v>370</v>
      </c>
      <c r="F990" t="s">
        <v>1588</v>
      </c>
      <c r="H990" t="s">
        <v>1670</v>
      </c>
      <c r="I990" t="s">
        <v>1670</v>
      </c>
      <c r="J990" t="s">
        <v>1674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f>N990-K990</f>
        <v>0</v>
      </c>
      <c r="R990">
        <f>O990-L990</f>
        <v>0</v>
      </c>
      <c r="S990">
        <f>P990-M990</f>
        <v>0</v>
      </c>
      <c r="T990">
        <v>0</v>
      </c>
      <c r="U990" s="14">
        <v>0</v>
      </c>
      <c r="V990" s="14">
        <v>0</v>
      </c>
      <c r="W990" s="16">
        <v>0</v>
      </c>
      <c r="X990" s="16">
        <v>0</v>
      </c>
    </row>
    <row r="991" spans="1:24" x14ac:dyDescent="0.2">
      <c r="A991" t="s">
        <v>13</v>
      </c>
      <c r="B991" t="s">
        <v>22</v>
      </c>
      <c r="C991" t="s">
        <v>40</v>
      </c>
      <c r="D991" t="s">
        <v>228</v>
      </c>
      <c r="E991" t="s">
        <v>688</v>
      </c>
      <c r="F991" t="s">
        <v>1636</v>
      </c>
      <c r="H991" t="s">
        <v>1670</v>
      </c>
      <c r="I991" t="s">
        <v>1670</v>
      </c>
      <c r="J991" t="s">
        <v>1673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f>N991-K991</f>
        <v>0</v>
      </c>
      <c r="R991">
        <f>O991-L991</f>
        <v>0</v>
      </c>
      <c r="S991">
        <f>P991-M991</f>
        <v>0</v>
      </c>
      <c r="T991">
        <v>0</v>
      </c>
      <c r="U991" s="14">
        <v>0</v>
      </c>
      <c r="V991" s="14">
        <v>0</v>
      </c>
      <c r="W991" s="16">
        <v>0</v>
      </c>
      <c r="X991" s="16">
        <v>0</v>
      </c>
    </row>
    <row r="992" spans="1:24" x14ac:dyDescent="0.2">
      <c r="A992" t="s">
        <v>17</v>
      </c>
      <c r="B992" t="s">
        <v>23</v>
      </c>
      <c r="C992" t="s">
        <v>61</v>
      </c>
      <c r="D992" t="s">
        <v>181</v>
      </c>
      <c r="E992" t="s">
        <v>499</v>
      </c>
      <c r="F992" t="s">
        <v>1108</v>
      </c>
      <c r="H992" t="s">
        <v>1669</v>
      </c>
      <c r="I992" t="s">
        <v>1671</v>
      </c>
      <c r="J992" t="s">
        <v>1674</v>
      </c>
      <c r="K992">
        <v>3</v>
      </c>
      <c r="L992">
        <v>0</v>
      </c>
      <c r="M992">
        <v>3</v>
      </c>
      <c r="N992">
        <v>0</v>
      </c>
      <c r="O992">
        <v>0</v>
      </c>
      <c r="P992">
        <v>0</v>
      </c>
      <c r="Q992">
        <f>N992-K992</f>
        <v>-3</v>
      </c>
      <c r="R992">
        <f>O992-L992</f>
        <v>0</v>
      </c>
      <c r="S992">
        <f>P992-M992</f>
        <v>-3</v>
      </c>
      <c r="T992">
        <v>163</v>
      </c>
      <c r="U992" s="14">
        <v>684178.13</v>
      </c>
      <c r="V992" s="14">
        <v>314</v>
      </c>
      <c r="W992" s="16">
        <v>2.2113238287367197E-3</v>
      </c>
      <c r="X992" s="16">
        <v>5.6866338749520082E-4</v>
      </c>
    </row>
    <row r="993" spans="1:24" x14ac:dyDescent="0.2">
      <c r="A993" t="s">
        <v>13</v>
      </c>
      <c r="B993" t="s">
        <v>19</v>
      </c>
      <c r="C993" t="s">
        <v>34</v>
      </c>
      <c r="D993" t="s">
        <v>85</v>
      </c>
      <c r="E993" t="s">
        <v>291</v>
      </c>
      <c r="F993" t="s">
        <v>750</v>
      </c>
      <c r="H993" t="s">
        <v>1670</v>
      </c>
      <c r="I993" t="s">
        <v>1670</v>
      </c>
      <c r="J993" t="s">
        <v>1674</v>
      </c>
      <c r="K993">
        <v>11</v>
      </c>
      <c r="L993">
        <v>0</v>
      </c>
      <c r="M993">
        <v>11</v>
      </c>
      <c r="N993">
        <v>10</v>
      </c>
      <c r="O993">
        <v>0</v>
      </c>
      <c r="P993">
        <v>10</v>
      </c>
      <c r="Q993">
        <f>N993-K993</f>
        <v>-1</v>
      </c>
      <c r="R993">
        <f>O993-L993</f>
        <v>0</v>
      </c>
      <c r="S993">
        <f>P993-M993</f>
        <v>-1</v>
      </c>
      <c r="T993">
        <v>0</v>
      </c>
      <c r="U993" s="14">
        <v>0</v>
      </c>
      <c r="V993" s="14">
        <v>0</v>
      </c>
      <c r="W993" s="16">
        <v>0</v>
      </c>
      <c r="X993" s="16">
        <v>0</v>
      </c>
    </row>
    <row r="994" spans="1:24" x14ac:dyDescent="0.2">
      <c r="A994" t="s">
        <v>16</v>
      </c>
      <c r="B994" t="s">
        <v>22</v>
      </c>
      <c r="C994" t="s">
        <v>39</v>
      </c>
      <c r="D994" t="s">
        <v>155</v>
      </c>
      <c r="E994" t="s">
        <v>432</v>
      </c>
      <c r="F994" t="s">
        <v>990</v>
      </c>
      <c r="H994" t="s">
        <v>1669</v>
      </c>
      <c r="I994" t="s">
        <v>1670</v>
      </c>
      <c r="J994" t="s">
        <v>1674</v>
      </c>
      <c r="K994">
        <v>6</v>
      </c>
      <c r="L994">
        <v>1</v>
      </c>
      <c r="M994">
        <v>7</v>
      </c>
      <c r="N994">
        <v>4</v>
      </c>
      <c r="O994">
        <v>0</v>
      </c>
      <c r="P994">
        <v>4</v>
      </c>
      <c r="Q994">
        <f>N994-K994</f>
        <v>-2</v>
      </c>
      <c r="R994">
        <f>O994-L994</f>
        <v>-1</v>
      </c>
      <c r="S994">
        <f>P994-M994</f>
        <v>-3</v>
      </c>
      <c r="T994">
        <v>33</v>
      </c>
      <c r="U994" s="14">
        <v>194917.25</v>
      </c>
      <c r="V994" s="14">
        <v>196</v>
      </c>
      <c r="W994" s="16">
        <v>6.2998967762508339E-4</v>
      </c>
      <c r="X994" s="16">
        <v>3.5496185971038008E-4</v>
      </c>
    </row>
    <row r="995" spans="1:24" x14ac:dyDescent="0.2">
      <c r="A995" t="s">
        <v>17</v>
      </c>
      <c r="B995" t="s">
        <v>24</v>
      </c>
      <c r="C995" t="s">
        <v>49</v>
      </c>
      <c r="D995" t="s">
        <v>152</v>
      </c>
      <c r="E995" t="s">
        <v>482</v>
      </c>
      <c r="F995" t="s">
        <v>1078</v>
      </c>
      <c r="H995" t="s">
        <v>1669</v>
      </c>
      <c r="I995" t="s">
        <v>1671</v>
      </c>
      <c r="J995" t="s">
        <v>1674</v>
      </c>
      <c r="K995">
        <v>2</v>
      </c>
      <c r="L995">
        <v>1</v>
      </c>
      <c r="M995">
        <v>3</v>
      </c>
      <c r="N995">
        <v>0</v>
      </c>
      <c r="O995">
        <v>0</v>
      </c>
      <c r="P995">
        <v>0</v>
      </c>
      <c r="Q995">
        <f>N995-K995</f>
        <v>-2</v>
      </c>
      <c r="R995">
        <f>O995-L995</f>
        <v>-1</v>
      </c>
      <c r="S995">
        <f>P995-M995</f>
        <v>-3</v>
      </c>
      <c r="T995">
        <v>20</v>
      </c>
      <c r="U995" s="14">
        <v>97266.59</v>
      </c>
      <c r="V995" s="14">
        <v>168</v>
      </c>
      <c r="W995" s="16">
        <v>3.1437416482015397E-4</v>
      </c>
      <c r="X995" s="16">
        <v>3.0425302260889722E-4</v>
      </c>
    </row>
    <row r="996" spans="1:24" x14ac:dyDescent="0.2">
      <c r="A996" t="s">
        <v>17</v>
      </c>
      <c r="B996" t="s">
        <v>23</v>
      </c>
      <c r="C996" t="s">
        <v>61</v>
      </c>
      <c r="D996" t="s">
        <v>181</v>
      </c>
      <c r="E996" t="s">
        <v>496</v>
      </c>
      <c r="F996" t="s">
        <v>1105</v>
      </c>
      <c r="H996" t="s">
        <v>1669</v>
      </c>
      <c r="I996" t="s">
        <v>1671</v>
      </c>
      <c r="J996" t="s">
        <v>1674</v>
      </c>
      <c r="K996">
        <v>2</v>
      </c>
      <c r="L996">
        <v>1</v>
      </c>
      <c r="M996">
        <v>3</v>
      </c>
      <c r="N996">
        <v>0</v>
      </c>
      <c r="O996">
        <v>0</v>
      </c>
      <c r="P996">
        <v>0</v>
      </c>
      <c r="Q996">
        <f>N996-K996</f>
        <v>-2</v>
      </c>
      <c r="R996">
        <f>O996-L996</f>
        <v>-1</v>
      </c>
      <c r="S996">
        <f>P996-M996</f>
        <v>-3</v>
      </c>
      <c r="T996">
        <v>126</v>
      </c>
      <c r="U996" s="14">
        <v>1102203.8999999999</v>
      </c>
      <c r="V996" s="14">
        <v>973</v>
      </c>
      <c r="W996" s="16">
        <v>3.5624198455401438E-3</v>
      </c>
      <c r="X996" s="16">
        <v>1.7621320892765298E-3</v>
      </c>
    </row>
    <row r="997" spans="1:24" x14ac:dyDescent="0.2">
      <c r="A997" t="s">
        <v>17</v>
      </c>
      <c r="B997" t="s">
        <v>23</v>
      </c>
      <c r="C997" t="s">
        <v>61</v>
      </c>
      <c r="D997" t="s">
        <v>186</v>
      </c>
      <c r="E997" t="s">
        <v>505</v>
      </c>
      <c r="F997" t="s">
        <v>1117</v>
      </c>
      <c r="H997" t="s">
        <v>1669</v>
      </c>
      <c r="I997" t="s">
        <v>1671</v>
      </c>
      <c r="J997" t="s">
        <v>1674</v>
      </c>
      <c r="K997">
        <v>1</v>
      </c>
      <c r="L997">
        <v>2</v>
      </c>
      <c r="M997">
        <v>3</v>
      </c>
      <c r="N997">
        <v>0</v>
      </c>
      <c r="O997">
        <v>0</v>
      </c>
      <c r="P997">
        <v>0</v>
      </c>
      <c r="Q997">
        <f>N997-K997</f>
        <v>-1</v>
      </c>
      <c r="R997">
        <f>O997-L997</f>
        <v>-2</v>
      </c>
      <c r="S997">
        <f>P997-M997</f>
        <v>-3</v>
      </c>
      <c r="T997">
        <v>17</v>
      </c>
      <c r="U997" s="14">
        <v>52858.69000000001</v>
      </c>
      <c r="V997" s="14">
        <v>48</v>
      </c>
      <c r="W997" s="16">
        <v>1.7084393029751971E-4</v>
      </c>
      <c r="X997" s="16">
        <v>8.6929435031113489E-5</v>
      </c>
    </row>
    <row r="998" spans="1:24" x14ac:dyDescent="0.2">
      <c r="A998" t="s">
        <v>12</v>
      </c>
      <c r="B998" s="35" t="s">
        <v>19</v>
      </c>
      <c r="C998" t="s">
        <v>28</v>
      </c>
      <c r="D998" t="s">
        <v>76</v>
      </c>
      <c r="E998" t="s">
        <v>274</v>
      </c>
      <c r="F998" t="s">
        <v>1258</v>
      </c>
      <c r="H998" t="s">
        <v>1669</v>
      </c>
      <c r="I998" t="s">
        <v>1670</v>
      </c>
      <c r="J998" t="s">
        <v>1674</v>
      </c>
      <c r="K998">
        <v>0</v>
      </c>
      <c r="L998">
        <v>3</v>
      </c>
      <c r="M998">
        <v>3</v>
      </c>
      <c r="N998">
        <v>0</v>
      </c>
      <c r="O998">
        <v>3</v>
      </c>
      <c r="P998">
        <v>3</v>
      </c>
      <c r="Q998">
        <f>N998-K998</f>
        <v>0</v>
      </c>
      <c r="R998">
        <f>O998-L998</f>
        <v>0</v>
      </c>
      <c r="S998">
        <f>P998-M998</f>
        <v>0</v>
      </c>
      <c r="T998">
        <v>12</v>
      </c>
      <c r="U998" s="14">
        <v>42212.99</v>
      </c>
      <c r="V998" s="14">
        <v>529</v>
      </c>
      <c r="W998" s="16">
        <v>1.3643609255564024E-4</v>
      </c>
      <c r="X998" s="16">
        <v>9.5803481523873001E-4</v>
      </c>
    </row>
    <row r="999" spans="1:24" x14ac:dyDescent="0.2">
      <c r="A999" t="s">
        <v>17</v>
      </c>
      <c r="B999" t="s">
        <v>23</v>
      </c>
      <c r="C999" t="s">
        <v>61</v>
      </c>
      <c r="D999" t="s">
        <v>196</v>
      </c>
      <c r="E999" t="s">
        <v>570</v>
      </c>
      <c r="F999" t="s">
        <v>1322</v>
      </c>
      <c r="H999" t="s">
        <v>1669</v>
      </c>
      <c r="I999" t="s">
        <v>1671</v>
      </c>
      <c r="J999" t="s">
        <v>1674</v>
      </c>
      <c r="K999">
        <v>0</v>
      </c>
      <c r="L999">
        <v>3</v>
      </c>
      <c r="M999">
        <v>3</v>
      </c>
      <c r="N999">
        <v>0</v>
      </c>
      <c r="O999">
        <v>0</v>
      </c>
      <c r="P999">
        <v>0</v>
      </c>
      <c r="Q999">
        <f>N999-K999</f>
        <v>0</v>
      </c>
      <c r="R999">
        <f>O999-L999</f>
        <v>-3</v>
      </c>
      <c r="S999">
        <f>P999-M999</f>
        <v>-3</v>
      </c>
      <c r="T999">
        <v>39</v>
      </c>
      <c r="U999" s="14">
        <v>37294.160000000003</v>
      </c>
      <c r="V999" s="14">
        <v>467</v>
      </c>
      <c r="W999" s="16">
        <v>1.2053800182230296E-4</v>
      </c>
      <c r="X999" s="16">
        <v>8.4575096165687505E-4</v>
      </c>
    </row>
    <row r="1000" spans="1:24" x14ac:dyDescent="0.2">
      <c r="A1000" t="s">
        <v>12</v>
      </c>
      <c r="B1000" t="s">
        <v>18</v>
      </c>
      <c r="C1000" t="s">
        <v>26</v>
      </c>
      <c r="D1000" t="s">
        <v>63</v>
      </c>
      <c r="E1000" t="s">
        <v>232</v>
      </c>
      <c r="F1000" t="s">
        <v>232</v>
      </c>
      <c r="H1000" t="s">
        <v>1669</v>
      </c>
      <c r="I1000" t="s">
        <v>1670</v>
      </c>
      <c r="J1000" t="s">
        <v>1674</v>
      </c>
      <c r="K1000">
        <v>6</v>
      </c>
      <c r="L1000">
        <v>0</v>
      </c>
      <c r="M1000">
        <v>6</v>
      </c>
      <c r="N1000">
        <v>2</v>
      </c>
      <c r="O1000">
        <v>0</v>
      </c>
      <c r="P1000">
        <v>2</v>
      </c>
      <c r="Q1000">
        <f>N1000-K1000</f>
        <v>-4</v>
      </c>
      <c r="R1000">
        <f>O1000-L1000</f>
        <v>0</v>
      </c>
      <c r="S1000">
        <f>P1000-M1000</f>
        <v>-4</v>
      </c>
      <c r="T1000">
        <v>0</v>
      </c>
      <c r="U1000" s="14">
        <v>0</v>
      </c>
      <c r="V1000" s="14">
        <v>0</v>
      </c>
      <c r="W1000" s="16">
        <v>0</v>
      </c>
      <c r="X1000" s="16">
        <v>0</v>
      </c>
    </row>
    <row r="1001" spans="1:24" x14ac:dyDescent="0.2">
      <c r="A1001" t="s">
        <v>14</v>
      </c>
      <c r="B1001" s="35" t="s">
        <v>19</v>
      </c>
      <c r="C1001" t="s">
        <v>43</v>
      </c>
      <c r="D1001" t="s">
        <v>117</v>
      </c>
      <c r="E1001" t="s">
        <v>117</v>
      </c>
      <c r="F1001" t="s">
        <v>867</v>
      </c>
      <c r="H1001" t="s">
        <v>1670</v>
      </c>
      <c r="I1001" t="s">
        <v>1670</v>
      </c>
      <c r="J1001" t="s">
        <v>1674</v>
      </c>
      <c r="K1001">
        <v>1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f>N1001-K1001</f>
        <v>0</v>
      </c>
      <c r="R1001">
        <f>O1001-L1001</f>
        <v>0</v>
      </c>
      <c r="S1001">
        <f>P1001-M1001</f>
        <v>0</v>
      </c>
      <c r="T1001">
        <v>0</v>
      </c>
      <c r="U1001" s="14">
        <v>0</v>
      </c>
      <c r="V1001" s="14">
        <v>0</v>
      </c>
      <c r="W1001" s="16">
        <v>0</v>
      </c>
      <c r="X1001" s="16">
        <v>0</v>
      </c>
    </row>
    <row r="1002" spans="1:24" x14ac:dyDescent="0.2">
      <c r="A1002" t="s">
        <v>12</v>
      </c>
      <c r="B1002" t="s">
        <v>18</v>
      </c>
      <c r="C1002" t="s">
        <v>29</v>
      </c>
      <c r="D1002" t="s">
        <v>80</v>
      </c>
      <c r="E1002" t="s">
        <v>281</v>
      </c>
      <c r="F1002" t="s">
        <v>729</v>
      </c>
      <c r="H1002" t="s">
        <v>1669</v>
      </c>
      <c r="I1002" t="s">
        <v>1670</v>
      </c>
      <c r="J1002" t="s">
        <v>1674</v>
      </c>
      <c r="K1002">
        <v>8</v>
      </c>
      <c r="L1002">
        <v>0</v>
      </c>
      <c r="M1002">
        <v>8</v>
      </c>
      <c r="N1002">
        <v>4</v>
      </c>
      <c r="O1002">
        <v>0</v>
      </c>
      <c r="P1002">
        <v>4</v>
      </c>
      <c r="Q1002">
        <f>N1002-K1002</f>
        <v>-4</v>
      </c>
      <c r="R1002">
        <f>O1002-L1002</f>
        <v>0</v>
      </c>
      <c r="S1002">
        <f>P1002-M1002</f>
        <v>-4</v>
      </c>
      <c r="T1002">
        <v>136</v>
      </c>
      <c r="U1002" s="14">
        <v>897498.20999999985</v>
      </c>
      <c r="V1002" s="14">
        <v>508</v>
      </c>
      <c r="W1002" s="16">
        <v>2.9007930698129042E-3</v>
      </c>
      <c r="X1002" s="16">
        <v>9.2000318741261783E-4</v>
      </c>
    </row>
    <row r="1003" spans="1:24" x14ac:dyDescent="0.2">
      <c r="A1003" t="s">
        <v>13</v>
      </c>
      <c r="B1003" t="s">
        <v>20</v>
      </c>
      <c r="C1003" t="s">
        <v>33</v>
      </c>
      <c r="D1003" t="s">
        <v>84</v>
      </c>
      <c r="E1003" t="s">
        <v>289</v>
      </c>
      <c r="F1003" t="s">
        <v>747</v>
      </c>
      <c r="H1003" t="s">
        <v>1669</v>
      </c>
      <c r="I1003" t="s">
        <v>1670</v>
      </c>
      <c r="J1003" t="s">
        <v>1674</v>
      </c>
      <c r="K1003">
        <v>6</v>
      </c>
      <c r="L1003">
        <v>0</v>
      </c>
      <c r="M1003">
        <v>6</v>
      </c>
      <c r="N1003">
        <v>2</v>
      </c>
      <c r="O1003">
        <v>0</v>
      </c>
      <c r="P1003">
        <v>2</v>
      </c>
      <c r="Q1003">
        <f>N1003-K1003</f>
        <v>-4</v>
      </c>
      <c r="R1003">
        <f>O1003-L1003</f>
        <v>0</v>
      </c>
      <c r="S1003">
        <f>P1003-M1003</f>
        <v>-4</v>
      </c>
      <c r="T1003">
        <v>1</v>
      </c>
      <c r="U1003" s="14">
        <v>4268</v>
      </c>
      <c r="V1003" s="14">
        <v>2</v>
      </c>
      <c r="W1003" s="16">
        <v>1.3794550990760725E-5</v>
      </c>
      <c r="X1003" s="16">
        <v>3.6220597929630623E-6</v>
      </c>
    </row>
    <row r="1004" spans="1:24" x14ac:dyDescent="0.2">
      <c r="A1004" t="s">
        <v>13</v>
      </c>
      <c r="B1004" t="s">
        <v>20</v>
      </c>
      <c r="C1004" t="s">
        <v>33</v>
      </c>
      <c r="D1004" t="s">
        <v>87</v>
      </c>
      <c r="E1004" t="s">
        <v>296</v>
      </c>
      <c r="F1004" t="s">
        <v>761</v>
      </c>
      <c r="H1004" t="s">
        <v>1669</v>
      </c>
      <c r="I1004" t="s">
        <v>1670</v>
      </c>
      <c r="J1004" t="s">
        <v>1674</v>
      </c>
      <c r="K1004">
        <v>6</v>
      </c>
      <c r="L1004">
        <v>0</v>
      </c>
      <c r="M1004">
        <v>6</v>
      </c>
      <c r="N1004">
        <v>2</v>
      </c>
      <c r="O1004">
        <v>0</v>
      </c>
      <c r="P1004">
        <v>2</v>
      </c>
      <c r="Q1004">
        <f>N1004-K1004</f>
        <v>-4</v>
      </c>
      <c r="R1004">
        <f>O1004-L1004</f>
        <v>0</v>
      </c>
      <c r="S1004">
        <f>P1004-M1004</f>
        <v>-4</v>
      </c>
      <c r="T1004">
        <v>16</v>
      </c>
      <c r="U1004" s="14">
        <v>485036.22</v>
      </c>
      <c r="V1004" s="14">
        <v>48</v>
      </c>
      <c r="W1004" s="16">
        <v>1.5676796788087713E-3</v>
      </c>
      <c r="X1004" s="16">
        <v>8.6929435031113489E-5</v>
      </c>
    </row>
    <row r="1005" spans="1:24" x14ac:dyDescent="0.2">
      <c r="A1005" t="s">
        <v>13</v>
      </c>
      <c r="B1005" t="s">
        <v>20</v>
      </c>
      <c r="C1005" t="s">
        <v>33</v>
      </c>
      <c r="D1005" t="s">
        <v>87</v>
      </c>
      <c r="E1005" t="s">
        <v>299</v>
      </c>
      <c r="F1005" t="s">
        <v>785</v>
      </c>
      <c r="H1005" t="s">
        <v>1669</v>
      </c>
      <c r="I1005" t="s">
        <v>1670</v>
      </c>
      <c r="J1005" t="s">
        <v>1674</v>
      </c>
      <c r="K1005">
        <v>4</v>
      </c>
      <c r="L1005">
        <v>0</v>
      </c>
      <c r="M1005">
        <v>4</v>
      </c>
      <c r="N1005">
        <v>0</v>
      </c>
      <c r="O1005">
        <v>0</v>
      </c>
      <c r="P1005">
        <v>0</v>
      </c>
      <c r="Q1005">
        <f>N1005-K1005</f>
        <v>-4</v>
      </c>
      <c r="R1005">
        <f>O1005-L1005</f>
        <v>0</v>
      </c>
      <c r="S1005">
        <f>P1005-M1005</f>
        <v>-4</v>
      </c>
      <c r="T1005">
        <v>1</v>
      </c>
      <c r="U1005" s="14">
        <v>11730.85</v>
      </c>
      <c r="V1005" s="14">
        <v>14</v>
      </c>
      <c r="W1005" s="16">
        <v>3.7915137884246825E-5</v>
      </c>
      <c r="X1005" s="16">
        <v>2.5354418550741437E-5</v>
      </c>
    </row>
    <row r="1006" spans="1:24" x14ac:dyDescent="0.2">
      <c r="A1006" t="s">
        <v>13</v>
      </c>
      <c r="B1006" t="s">
        <v>22</v>
      </c>
      <c r="C1006" t="s">
        <v>36</v>
      </c>
      <c r="D1006" t="s">
        <v>89</v>
      </c>
      <c r="E1006" t="s">
        <v>304</v>
      </c>
      <c r="F1006" t="s">
        <v>799</v>
      </c>
      <c r="H1006" t="s">
        <v>1669</v>
      </c>
      <c r="I1006" t="s">
        <v>1670</v>
      </c>
      <c r="J1006" t="s">
        <v>1674</v>
      </c>
      <c r="K1006">
        <v>4</v>
      </c>
      <c r="L1006">
        <v>0</v>
      </c>
      <c r="M1006">
        <v>4</v>
      </c>
      <c r="N1006">
        <v>0</v>
      </c>
      <c r="O1006">
        <v>0</v>
      </c>
      <c r="P1006">
        <v>0</v>
      </c>
      <c r="Q1006">
        <f>N1006-K1006</f>
        <v>-4</v>
      </c>
      <c r="R1006">
        <f>O1006-L1006</f>
        <v>0</v>
      </c>
      <c r="S1006">
        <f>P1006-M1006</f>
        <v>-4</v>
      </c>
      <c r="T1006">
        <v>4</v>
      </c>
      <c r="U1006" s="14">
        <v>4354</v>
      </c>
      <c r="V1006" s="14">
        <v>9</v>
      </c>
      <c r="W1006" s="16">
        <v>1.4072510546806981E-5</v>
      </c>
      <c r="X1006" s="16">
        <v>1.629926906833378E-5</v>
      </c>
    </row>
    <row r="1007" spans="1:24" x14ac:dyDescent="0.2">
      <c r="A1007" t="s">
        <v>13</v>
      </c>
      <c r="B1007" t="s">
        <v>22</v>
      </c>
      <c r="C1007" t="s">
        <v>36</v>
      </c>
      <c r="D1007" t="s">
        <v>89</v>
      </c>
      <c r="E1007" t="s">
        <v>306</v>
      </c>
      <c r="F1007" t="s">
        <v>801</v>
      </c>
      <c r="H1007" t="s">
        <v>1669</v>
      </c>
      <c r="I1007" t="s">
        <v>1670</v>
      </c>
      <c r="J1007" t="s">
        <v>1674</v>
      </c>
      <c r="K1007">
        <v>4</v>
      </c>
      <c r="L1007">
        <v>0</v>
      </c>
      <c r="M1007">
        <v>4</v>
      </c>
      <c r="N1007">
        <v>0</v>
      </c>
      <c r="O1007">
        <v>0</v>
      </c>
      <c r="P1007">
        <v>0</v>
      </c>
      <c r="Q1007">
        <f>N1007-K1007</f>
        <v>-4</v>
      </c>
      <c r="R1007">
        <f>O1007-L1007</f>
        <v>0</v>
      </c>
      <c r="S1007">
        <f>P1007-M1007</f>
        <v>-4</v>
      </c>
      <c r="T1007">
        <v>1</v>
      </c>
      <c r="U1007" s="14">
        <v>521</v>
      </c>
      <c r="V1007" s="14">
        <v>2</v>
      </c>
      <c r="W1007" s="16">
        <v>1.6839177755825534E-6</v>
      </c>
      <c r="X1007" s="16">
        <v>3.6220597929630623E-6</v>
      </c>
    </row>
    <row r="1008" spans="1:24" x14ac:dyDescent="0.2">
      <c r="A1008" t="s">
        <v>13</v>
      </c>
      <c r="B1008" t="s">
        <v>22</v>
      </c>
      <c r="C1008" t="s">
        <v>36</v>
      </c>
      <c r="D1008" t="s">
        <v>91</v>
      </c>
      <c r="E1008" t="s">
        <v>312</v>
      </c>
      <c r="F1008" t="s">
        <v>312</v>
      </c>
      <c r="H1008" t="s">
        <v>1669</v>
      </c>
      <c r="I1008" t="s">
        <v>1670</v>
      </c>
      <c r="J1008" t="s">
        <v>1674</v>
      </c>
      <c r="K1008">
        <v>4</v>
      </c>
      <c r="L1008">
        <v>0</v>
      </c>
      <c r="M1008">
        <v>4</v>
      </c>
      <c r="N1008">
        <v>0</v>
      </c>
      <c r="O1008">
        <v>0</v>
      </c>
      <c r="P1008">
        <v>0</v>
      </c>
      <c r="Q1008">
        <f>N1008-K1008</f>
        <v>-4</v>
      </c>
      <c r="R1008">
        <f>O1008-L1008</f>
        <v>0</v>
      </c>
      <c r="S1008">
        <f>P1008-M1008</f>
        <v>-4</v>
      </c>
      <c r="T1008">
        <v>0</v>
      </c>
      <c r="U1008" s="14">
        <v>0</v>
      </c>
      <c r="V1008" s="14">
        <v>0</v>
      </c>
      <c r="W1008" s="16">
        <v>0</v>
      </c>
      <c r="X1008" s="16">
        <v>0</v>
      </c>
    </row>
    <row r="1009" spans="1:24" x14ac:dyDescent="0.2">
      <c r="A1009" t="s">
        <v>13</v>
      </c>
      <c r="B1009" t="s">
        <v>21</v>
      </c>
      <c r="C1009" t="s">
        <v>35</v>
      </c>
      <c r="D1009" t="s">
        <v>86</v>
      </c>
      <c r="E1009" t="s">
        <v>86</v>
      </c>
      <c r="F1009" t="s">
        <v>748</v>
      </c>
      <c r="H1009" t="s">
        <v>1669</v>
      </c>
      <c r="I1009" t="s">
        <v>1670</v>
      </c>
      <c r="J1009" t="s">
        <v>1674</v>
      </c>
      <c r="K1009">
        <v>14</v>
      </c>
      <c r="L1009">
        <v>1</v>
      </c>
      <c r="M1009">
        <v>15</v>
      </c>
      <c r="N1009">
        <v>10</v>
      </c>
      <c r="O1009">
        <v>1</v>
      </c>
      <c r="P1009">
        <v>11</v>
      </c>
      <c r="Q1009">
        <f>N1009-K1009</f>
        <v>-4</v>
      </c>
      <c r="R1009">
        <f>O1009-L1009</f>
        <v>0</v>
      </c>
      <c r="S1009">
        <f>P1009-M1009</f>
        <v>-4</v>
      </c>
      <c r="T1009">
        <v>19</v>
      </c>
      <c r="U1009" s="14">
        <v>107180.38999999998</v>
      </c>
      <c r="V1009" s="14">
        <v>41</v>
      </c>
      <c r="W1009" s="16">
        <v>3.4641643745656527E-4</v>
      </c>
      <c r="X1009" s="16">
        <v>7.4252225755742774E-5</v>
      </c>
    </row>
    <row r="1010" spans="1:24" x14ac:dyDescent="0.2">
      <c r="A1010" t="s">
        <v>13</v>
      </c>
      <c r="B1010" t="s">
        <v>20</v>
      </c>
      <c r="C1010" t="s">
        <v>38</v>
      </c>
      <c r="D1010" t="s">
        <v>102</v>
      </c>
      <c r="E1010" t="s">
        <v>337</v>
      </c>
      <c r="F1010" t="s">
        <v>844</v>
      </c>
      <c r="H1010" t="s">
        <v>1669</v>
      </c>
      <c r="I1010" t="s">
        <v>1671</v>
      </c>
      <c r="J1010" t="s">
        <v>1674</v>
      </c>
      <c r="K1010">
        <v>9</v>
      </c>
      <c r="L1010">
        <v>0</v>
      </c>
      <c r="M1010">
        <v>9</v>
      </c>
      <c r="N1010">
        <v>5</v>
      </c>
      <c r="O1010">
        <v>0</v>
      </c>
      <c r="P1010">
        <v>5</v>
      </c>
      <c r="Q1010">
        <f>N1010-K1010</f>
        <v>-4</v>
      </c>
      <c r="R1010">
        <f>O1010-L1010</f>
        <v>0</v>
      </c>
      <c r="S1010">
        <f>P1010-M1010</f>
        <v>-4</v>
      </c>
      <c r="T1010">
        <v>4</v>
      </c>
      <c r="U1010" s="14">
        <v>81850</v>
      </c>
      <c r="V1010" s="14">
        <v>7</v>
      </c>
      <c r="W1010" s="16">
        <v>2.6454639142309402E-4</v>
      </c>
      <c r="X1010" s="16">
        <v>1.2677209275370719E-5</v>
      </c>
    </row>
    <row r="1011" spans="1:24" x14ac:dyDescent="0.2">
      <c r="A1011" t="s">
        <v>13</v>
      </c>
      <c r="B1011" t="s">
        <v>20</v>
      </c>
      <c r="C1011" t="s">
        <v>38</v>
      </c>
      <c r="D1011" t="s">
        <v>103</v>
      </c>
      <c r="E1011" t="s">
        <v>338</v>
      </c>
      <c r="F1011" t="s">
        <v>845</v>
      </c>
      <c r="H1011" t="s">
        <v>1669</v>
      </c>
      <c r="I1011" t="s">
        <v>1671</v>
      </c>
      <c r="J1011" t="s">
        <v>1674</v>
      </c>
      <c r="K1011">
        <v>14</v>
      </c>
      <c r="L1011">
        <v>0</v>
      </c>
      <c r="M1011">
        <v>14</v>
      </c>
      <c r="N1011">
        <v>10</v>
      </c>
      <c r="O1011">
        <v>0</v>
      </c>
      <c r="P1011">
        <v>10</v>
      </c>
      <c r="Q1011">
        <f>N1011-K1011</f>
        <v>-4</v>
      </c>
      <c r="R1011">
        <f>O1011-L1011</f>
        <v>0</v>
      </c>
      <c r="S1011">
        <f>P1011-M1011</f>
        <v>-4</v>
      </c>
      <c r="T1011">
        <v>2</v>
      </c>
      <c r="U1011" s="14">
        <v>18218.12</v>
      </c>
      <c r="V1011" s="14">
        <v>24</v>
      </c>
      <c r="W1011" s="16">
        <v>5.8882564502295633E-5</v>
      </c>
      <c r="X1011" s="16">
        <v>4.3464717515556745E-5</v>
      </c>
    </row>
    <row r="1012" spans="1:24" x14ac:dyDescent="0.2">
      <c r="A1012" t="s">
        <v>14</v>
      </c>
      <c r="B1012" s="35" t="s">
        <v>19</v>
      </c>
      <c r="C1012" t="s">
        <v>44</v>
      </c>
      <c r="D1012" t="s">
        <v>120</v>
      </c>
      <c r="E1012" t="s">
        <v>363</v>
      </c>
      <c r="F1012" t="s">
        <v>873</v>
      </c>
      <c r="H1012" t="s">
        <v>1670</v>
      </c>
      <c r="I1012" t="s">
        <v>1670</v>
      </c>
      <c r="J1012" t="s">
        <v>1674</v>
      </c>
      <c r="K1012">
        <v>1</v>
      </c>
      <c r="L1012">
        <v>0</v>
      </c>
      <c r="M1012">
        <v>1</v>
      </c>
      <c r="N1012">
        <v>1</v>
      </c>
      <c r="O1012">
        <v>0</v>
      </c>
      <c r="P1012">
        <v>1</v>
      </c>
      <c r="Q1012">
        <f>N1012-K1012</f>
        <v>0</v>
      </c>
      <c r="R1012">
        <f>O1012-L1012</f>
        <v>0</v>
      </c>
      <c r="S1012">
        <f>P1012-M1012</f>
        <v>0</v>
      </c>
      <c r="T1012">
        <v>0</v>
      </c>
      <c r="U1012" s="14">
        <v>0</v>
      </c>
      <c r="V1012" s="14">
        <v>0</v>
      </c>
      <c r="W1012" s="16">
        <v>0</v>
      </c>
      <c r="X1012" s="16">
        <v>0</v>
      </c>
    </row>
    <row r="1013" spans="1:24" x14ac:dyDescent="0.2">
      <c r="A1013" t="s">
        <v>14</v>
      </c>
      <c r="B1013" t="s">
        <v>22</v>
      </c>
      <c r="C1013" t="s">
        <v>46</v>
      </c>
      <c r="D1013" t="s">
        <v>122</v>
      </c>
      <c r="E1013" t="s">
        <v>365</v>
      </c>
      <c r="F1013" t="s">
        <v>875</v>
      </c>
      <c r="H1013" t="s">
        <v>1670</v>
      </c>
      <c r="I1013" t="s">
        <v>1670</v>
      </c>
      <c r="J1013" t="s">
        <v>1674</v>
      </c>
      <c r="K1013">
        <v>1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f>N1013-K1013</f>
        <v>-1</v>
      </c>
      <c r="R1013">
        <f>O1013-L1013</f>
        <v>0</v>
      </c>
      <c r="S1013">
        <f>P1013-M1013</f>
        <v>-1</v>
      </c>
      <c r="T1013">
        <v>0</v>
      </c>
      <c r="U1013" s="14">
        <v>0</v>
      </c>
      <c r="V1013" s="14">
        <v>0</v>
      </c>
      <c r="W1013" s="16">
        <v>0</v>
      </c>
      <c r="X1013" s="16">
        <v>0</v>
      </c>
    </row>
    <row r="1014" spans="1:24" x14ac:dyDescent="0.2">
      <c r="A1014" t="s">
        <v>14</v>
      </c>
      <c r="B1014" s="35" t="s">
        <v>19</v>
      </c>
      <c r="C1014" t="s">
        <v>47</v>
      </c>
      <c r="D1014" t="s">
        <v>123</v>
      </c>
      <c r="E1014" t="s">
        <v>367</v>
      </c>
      <c r="F1014" t="s">
        <v>878</v>
      </c>
      <c r="H1014" t="s">
        <v>1670</v>
      </c>
      <c r="I1014" t="s">
        <v>1670</v>
      </c>
      <c r="J1014" t="s">
        <v>1674</v>
      </c>
      <c r="K1014">
        <v>1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f>N1014-K1014</f>
        <v>0</v>
      </c>
      <c r="R1014">
        <f>O1014-L1014</f>
        <v>0</v>
      </c>
      <c r="S1014">
        <f>P1014-M1014</f>
        <v>0</v>
      </c>
      <c r="T1014">
        <v>0</v>
      </c>
      <c r="U1014" s="14">
        <v>0</v>
      </c>
      <c r="V1014" s="14">
        <v>0</v>
      </c>
      <c r="W1014" s="16">
        <v>0</v>
      </c>
      <c r="X1014" s="16">
        <v>0</v>
      </c>
    </row>
    <row r="1015" spans="1:24" x14ac:dyDescent="0.2">
      <c r="A1015" t="s">
        <v>14</v>
      </c>
      <c r="B1015" s="35" t="s">
        <v>19</v>
      </c>
      <c r="C1015" t="s">
        <v>47</v>
      </c>
      <c r="D1015" t="s">
        <v>126</v>
      </c>
      <c r="E1015" t="s">
        <v>369</v>
      </c>
      <c r="F1015" t="s">
        <v>882</v>
      </c>
      <c r="H1015" t="s">
        <v>1670</v>
      </c>
      <c r="I1015" t="s">
        <v>1670</v>
      </c>
      <c r="J1015" t="s">
        <v>1674</v>
      </c>
      <c r="K1015">
        <v>1</v>
      </c>
      <c r="L1015">
        <v>0</v>
      </c>
      <c r="M1015">
        <v>1</v>
      </c>
      <c r="N1015">
        <v>1</v>
      </c>
      <c r="O1015">
        <v>0</v>
      </c>
      <c r="P1015">
        <v>1</v>
      </c>
      <c r="Q1015">
        <f>N1015-K1015</f>
        <v>0</v>
      </c>
      <c r="R1015">
        <f>O1015-L1015</f>
        <v>0</v>
      </c>
      <c r="S1015">
        <f>P1015-M1015</f>
        <v>0</v>
      </c>
      <c r="T1015">
        <v>0</v>
      </c>
      <c r="U1015" s="14">
        <v>0</v>
      </c>
      <c r="V1015" s="14">
        <v>0</v>
      </c>
      <c r="W1015" s="16">
        <v>0</v>
      </c>
      <c r="X1015" s="16">
        <v>0</v>
      </c>
    </row>
    <row r="1016" spans="1:24" x14ac:dyDescent="0.2">
      <c r="A1016" t="s">
        <v>14</v>
      </c>
      <c r="B1016" s="35" t="s">
        <v>19</v>
      </c>
      <c r="C1016" t="s">
        <v>47</v>
      </c>
      <c r="D1016" t="s">
        <v>127</v>
      </c>
      <c r="E1016" t="s">
        <v>127</v>
      </c>
      <c r="F1016" t="s">
        <v>883</v>
      </c>
      <c r="H1016" t="s">
        <v>1670</v>
      </c>
      <c r="I1016" t="s">
        <v>1670</v>
      </c>
      <c r="J1016" t="s">
        <v>1674</v>
      </c>
      <c r="K1016">
        <v>1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f>N1016-K1016</f>
        <v>0</v>
      </c>
      <c r="R1016">
        <f>O1016-L1016</f>
        <v>0</v>
      </c>
      <c r="S1016">
        <f>P1016-M1016</f>
        <v>0</v>
      </c>
      <c r="T1016">
        <v>0</v>
      </c>
      <c r="U1016" s="14">
        <v>0</v>
      </c>
      <c r="V1016" s="14">
        <v>0</v>
      </c>
      <c r="W1016" s="16">
        <v>0</v>
      </c>
      <c r="X1016" s="16">
        <v>0</v>
      </c>
    </row>
    <row r="1017" spans="1:24" x14ac:dyDescent="0.2">
      <c r="A1017" t="s">
        <v>15</v>
      </c>
      <c r="B1017" t="s">
        <v>24</v>
      </c>
      <c r="C1017" t="s">
        <v>58</v>
      </c>
      <c r="D1017" t="s">
        <v>148</v>
      </c>
      <c r="E1017" t="s">
        <v>406</v>
      </c>
      <c r="F1017" t="s">
        <v>928</v>
      </c>
      <c r="H1017" t="s">
        <v>1669</v>
      </c>
      <c r="I1017" t="s">
        <v>1670</v>
      </c>
      <c r="J1017" t="s">
        <v>1674</v>
      </c>
      <c r="K1017">
        <v>4</v>
      </c>
      <c r="L1017">
        <v>0</v>
      </c>
      <c r="M1017">
        <v>4</v>
      </c>
      <c r="N1017">
        <v>0</v>
      </c>
      <c r="O1017">
        <v>0</v>
      </c>
      <c r="P1017">
        <v>0</v>
      </c>
      <c r="Q1017">
        <f>N1017-K1017</f>
        <v>-4</v>
      </c>
      <c r="R1017">
        <f>O1017-L1017</f>
        <v>0</v>
      </c>
      <c r="S1017">
        <f>P1017-M1017</f>
        <v>-4</v>
      </c>
      <c r="T1017">
        <v>0</v>
      </c>
      <c r="U1017" s="14">
        <v>0</v>
      </c>
      <c r="V1017" s="14">
        <v>0</v>
      </c>
      <c r="W1017" s="16">
        <v>0</v>
      </c>
      <c r="X1017" s="16">
        <v>0</v>
      </c>
    </row>
    <row r="1018" spans="1:24" x14ac:dyDescent="0.2">
      <c r="A1018" t="s">
        <v>15</v>
      </c>
      <c r="B1018" t="s">
        <v>24</v>
      </c>
      <c r="C1018" t="s">
        <v>58</v>
      </c>
      <c r="D1018" t="s">
        <v>148</v>
      </c>
      <c r="E1018" t="s">
        <v>406</v>
      </c>
      <c r="F1018" t="s">
        <v>933</v>
      </c>
      <c r="H1018" t="s">
        <v>1669</v>
      </c>
      <c r="I1018" t="s">
        <v>1670</v>
      </c>
      <c r="J1018" t="s">
        <v>1674</v>
      </c>
      <c r="K1018">
        <v>7</v>
      </c>
      <c r="L1018">
        <v>0</v>
      </c>
      <c r="M1018">
        <v>7</v>
      </c>
      <c r="N1018">
        <v>3</v>
      </c>
      <c r="O1018">
        <v>0</v>
      </c>
      <c r="P1018">
        <v>3</v>
      </c>
      <c r="Q1018">
        <f>N1018-K1018</f>
        <v>-4</v>
      </c>
      <c r="R1018">
        <f>O1018-L1018</f>
        <v>0</v>
      </c>
      <c r="S1018">
        <f>P1018-M1018</f>
        <v>-4</v>
      </c>
      <c r="T1018">
        <v>25</v>
      </c>
      <c r="U1018" s="14">
        <v>28508.839999999997</v>
      </c>
      <c r="V1018" s="14">
        <v>63</v>
      </c>
      <c r="W1018" s="16">
        <v>9.2143075695276221E-5</v>
      </c>
      <c r="X1018" s="16">
        <v>1.1409488347833646E-4</v>
      </c>
    </row>
    <row r="1019" spans="1:24" x14ac:dyDescent="0.2">
      <c r="A1019" t="s">
        <v>15</v>
      </c>
      <c r="B1019" t="s">
        <v>24</v>
      </c>
      <c r="C1019" t="s">
        <v>58</v>
      </c>
      <c r="D1019" t="s">
        <v>149</v>
      </c>
      <c r="E1019" t="s">
        <v>421</v>
      </c>
      <c r="F1019" t="s">
        <v>958</v>
      </c>
      <c r="H1019" t="s">
        <v>1669</v>
      </c>
      <c r="I1019" t="s">
        <v>1671</v>
      </c>
      <c r="J1019" t="s">
        <v>1674</v>
      </c>
      <c r="K1019">
        <v>4</v>
      </c>
      <c r="L1019">
        <v>0</v>
      </c>
      <c r="M1019">
        <v>4</v>
      </c>
      <c r="N1019">
        <v>0</v>
      </c>
      <c r="O1019">
        <v>0</v>
      </c>
      <c r="P1019">
        <v>0</v>
      </c>
      <c r="Q1019">
        <f>N1019-K1019</f>
        <v>-4</v>
      </c>
      <c r="R1019">
        <f>O1019-L1019</f>
        <v>0</v>
      </c>
      <c r="S1019">
        <f>P1019-M1019</f>
        <v>-4</v>
      </c>
      <c r="T1019">
        <v>8</v>
      </c>
      <c r="U1019" s="14">
        <v>6989</v>
      </c>
      <c r="V1019" s="14">
        <v>31</v>
      </c>
      <c r="W1019" s="16">
        <v>2.2589062060549835E-5</v>
      </c>
      <c r="X1019" s="16">
        <v>5.6141926790927467E-5</v>
      </c>
    </row>
    <row r="1020" spans="1:24" x14ac:dyDescent="0.2">
      <c r="A1020" t="s">
        <v>15</v>
      </c>
      <c r="B1020" t="s">
        <v>24</v>
      </c>
      <c r="C1020" t="s">
        <v>58</v>
      </c>
      <c r="D1020" t="s">
        <v>149</v>
      </c>
      <c r="E1020" t="s">
        <v>424</v>
      </c>
      <c r="F1020" t="s">
        <v>424</v>
      </c>
      <c r="H1020" t="s">
        <v>1669</v>
      </c>
      <c r="I1020" t="s">
        <v>1670</v>
      </c>
      <c r="J1020" t="s">
        <v>1674</v>
      </c>
      <c r="K1020">
        <v>4</v>
      </c>
      <c r="L1020">
        <v>0</v>
      </c>
      <c r="M1020">
        <v>4</v>
      </c>
      <c r="N1020">
        <v>0</v>
      </c>
      <c r="O1020">
        <v>0</v>
      </c>
      <c r="P1020">
        <v>0</v>
      </c>
      <c r="Q1020">
        <f>N1020-K1020</f>
        <v>-4</v>
      </c>
      <c r="R1020">
        <f>O1020-L1020</f>
        <v>0</v>
      </c>
      <c r="S1020">
        <f>P1020-M1020</f>
        <v>-4</v>
      </c>
      <c r="T1020">
        <v>12</v>
      </c>
      <c r="U1020" s="14">
        <v>24181.539999999997</v>
      </c>
      <c r="V1020" s="14">
        <v>37</v>
      </c>
      <c r="W1020" s="16">
        <v>7.8156861894358024E-5</v>
      </c>
      <c r="X1020" s="16">
        <v>6.7008106169816651E-5</v>
      </c>
    </row>
    <row r="1021" spans="1:24" x14ac:dyDescent="0.2">
      <c r="A1021" t="s">
        <v>16</v>
      </c>
      <c r="B1021" t="s">
        <v>22</v>
      </c>
      <c r="C1021" t="s">
        <v>39</v>
      </c>
      <c r="D1021" t="s">
        <v>160</v>
      </c>
      <c r="E1021" t="s">
        <v>450</v>
      </c>
      <c r="F1021" t="s">
        <v>1025</v>
      </c>
      <c r="H1021" t="s">
        <v>1669</v>
      </c>
      <c r="I1021" t="s">
        <v>1670</v>
      </c>
      <c r="J1021" t="s">
        <v>1674</v>
      </c>
      <c r="K1021">
        <v>4</v>
      </c>
      <c r="L1021">
        <v>0</v>
      </c>
      <c r="M1021">
        <v>4</v>
      </c>
      <c r="N1021">
        <v>0</v>
      </c>
      <c r="O1021">
        <v>0</v>
      </c>
      <c r="P1021">
        <v>0</v>
      </c>
      <c r="Q1021">
        <f>N1021-K1021</f>
        <v>-4</v>
      </c>
      <c r="R1021">
        <f>O1021-L1021</f>
        <v>0</v>
      </c>
      <c r="S1021">
        <f>P1021-M1021</f>
        <v>-4</v>
      </c>
      <c r="T1021">
        <v>4</v>
      </c>
      <c r="U1021" s="14">
        <v>15361.810000000001</v>
      </c>
      <c r="V1021" s="14">
        <v>18</v>
      </c>
      <c r="W1021" s="16">
        <v>4.9650719624034211E-5</v>
      </c>
      <c r="X1021" s="16">
        <v>3.259853813666756E-5</v>
      </c>
    </row>
    <row r="1022" spans="1:24" x14ac:dyDescent="0.2">
      <c r="A1022" t="s">
        <v>16</v>
      </c>
      <c r="B1022" t="s">
        <v>23</v>
      </c>
      <c r="C1022" t="s">
        <v>45</v>
      </c>
      <c r="D1022" t="s">
        <v>121</v>
      </c>
      <c r="E1022" t="s">
        <v>364</v>
      </c>
      <c r="F1022" t="s">
        <v>1053</v>
      </c>
      <c r="H1022" t="s">
        <v>1669</v>
      </c>
      <c r="I1022" t="s">
        <v>1670</v>
      </c>
      <c r="J1022" t="s">
        <v>1674</v>
      </c>
      <c r="K1022">
        <v>5</v>
      </c>
      <c r="L1022">
        <v>0</v>
      </c>
      <c r="M1022">
        <v>5</v>
      </c>
      <c r="N1022">
        <v>1</v>
      </c>
      <c r="O1022">
        <v>0</v>
      </c>
      <c r="P1022">
        <v>1</v>
      </c>
      <c r="Q1022">
        <f>N1022-K1022</f>
        <v>-4</v>
      </c>
      <c r="R1022">
        <f>O1022-L1022</f>
        <v>0</v>
      </c>
      <c r="S1022">
        <f>P1022-M1022</f>
        <v>-4</v>
      </c>
      <c r="T1022">
        <v>0</v>
      </c>
      <c r="U1022" s="14">
        <v>0</v>
      </c>
      <c r="V1022" s="14">
        <v>0</v>
      </c>
      <c r="W1022" s="16">
        <v>0</v>
      </c>
      <c r="X1022" s="16">
        <v>0</v>
      </c>
    </row>
    <row r="1023" spans="1:24" x14ac:dyDescent="0.2">
      <c r="A1023" t="s">
        <v>17</v>
      </c>
      <c r="B1023" t="s">
        <v>21</v>
      </c>
      <c r="C1023" t="s">
        <v>35</v>
      </c>
      <c r="D1023" t="s">
        <v>86</v>
      </c>
      <c r="E1023" t="s">
        <v>86</v>
      </c>
      <c r="F1023" t="s">
        <v>1121</v>
      </c>
      <c r="H1023" t="s">
        <v>1669</v>
      </c>
      <c r="I1023" t="s">
        <v>1670</v>
      </c>
      <c r="J1023" t="s">
        <v>1674</v>
      </c>
      <c r="K1023">
        <v>4</v>
      </c>
      <c r="L1023">
        <v>0</v>
      </c>
      <c r="M1023">
        <v>4</v>
      </c>
      <c r="N1023">
        <v>0</v>
      </c>
      <c r="O1023">
        <v>0</v>
      </c>
      <c r="P1023">
        <v>0</v>
      </c>
      <c r="Q1023">
        <f>N1023-K1023</f>
        <v>-4</v>
      </c>
      <c r="R1023">
        <f>O1023-L1023</f>
        <v>0</v>
      </c>
      <c r="S1023">
        <f>P1023-M1023</f>
        <v>-4</v>
      </c>
      <c r="T1023">
        <v>22</v>
      </c>
      <c r="U1023" s="14">
        <v>64096.07</v>
      </c>
      <c r="V1023" s="14">
        <v>35</v>
      </c>
      <c r="W1023" s="16">
        <v>2.0716412978499736E-4</v>
      </c>
      <c r="X1023" s="16">
        <v>6.338604637685359E-5</v>
      </c>
    </row>
    <row r="1024" spans="1:24" x14ac:dyDescent="0.2">
      <c r="A1024" t="s">
        <v>14</v>
      </c>
      <c r="B1024" s="35" t="s">
        <v>19</v>
      </c>
      <c r="C1024" t="s">
        <v>47</v>
      </c>
      <c r="D1024" t="s">
        <v>127</v>
      </c>
      <c r="E1024" t="s">
        <v>127</v>
      </c>
      <c r="F1024" t="s">
        <v>884</v>
      </c>
      <c r="H1024" t="s">
        <v>1670</v>
      </c>
      <c r="I1024" t="s">
        <v>1670</v>
      </c>
      <c r="J1024" t="s">
        <v>1674</v>
      </c>
      <c r="K1024">
        <v>1</v>
      </c>
      <c r="L1024">
        <v>0</v>
      </c>
      <c r="M1024">
        <v>1</v>
      </c>
      <c r="N1024">
        <v>1</v>
      </c>
      <c r="O1024">
        <v>0</v>
      </c>
      <c r="P1024">
        <v>1</v>
      </c>
      <c r="Q1024">
        <f>N1024-K1024</f>
        <v>0</v>
      </c>
      <c r="R1024">
        <f>O1024-L1024</f>
        <v>0</v>
      </c>
      <c r="S1024">
        <f>P1024-M1024</f>
        <v>0</v>
      </c>
      <c r="T1024">
        <v>0</v>
      </c>
      <c r="U1024" s="14">
        <v>0</v>
      </c>
      <c r="V1024" s="14">
        <v>0</v>
      </c>
      <c r="W1024" s="16">
        <v>0</v>
      </c>
      <c r="X1024" s="16">
        <v>0</v>
      </c>
    </row>
    <row r="1025" spans="1:24" x14ac:dyDescent="0.2">
      <c r="A1025" t="s">
        <v>12</v>
      </c>
      <c r="B1025" t="s">
        <v>18</v>
      </c>
      <c r="C1025" t="s">
        <v>26</v>
      </c>
      <c r="D1025" t="s">
        <v>63</v>
      </c>
      <c r="E1025" t="s">
        <v>242</v>
      </c>
      <c r="F1025" t="s">
        <v>242</v>
      </c>
      <c r="H1025" t="s">
        <v>1669</v>
      </c>
      <c r="I1025" t="s">
        <v>1670</v>
      </c>
      <c r="J1025" t="s">
        <v>1674</v>
      </c>
      <c r="K1025">
        <v>8</v>
      </c>
      <c r="L1025">
        <v>1</v>
      </c>
      <c r="M1025">
        <v>9</v>
      </c>
      <c r="N1025">
        <v>5</v>
      </c>
      <c r="O1025">
        <v>0</v>
      </c>
      <c r="P1025">
        <v>5</v>
      </c>
      <c r="Q1025">
        <f>N1025-K1025</f>
        <v>-3</v>
      </c>
      <c r="R1025">
        <f>O1025-L1025</f>
        <v>-1</v>
      </c>
      <c r="S1025">
        <f>P1025-M1025</f>
        <v>-4</v>
      </c>
      <c r="T1025">
        <v>371</v>
      </c>
      <c r="U1025" s="14">
        <v>4092395.0799999996</v>
      </c>
      <c r="V1025" s="14">
        <v>4688</v>
      </c>
      <c r="W1025" s="16">
        <v>1.3226980460496323E-2</v>
      </c>
      <c r="X1025" s="16">
        <v>8.4901081547054183E-3</v>
      </c>
    </row>
    <row r="1026" spans="1:24" x14ac:dyDescent="0.2">
      <c r="A1026" t="s">
        <v>13</v>
      </c>
      <c r="B1026" t="s">
        <v>20</v>
      </c>
      <c r="C1026" t="s">
        <v>33</v>
      </c>
      <c r="D1026" t="s">
        <v>87</v>
      </c>
      <c r="E1026" t="s">
        <v>298</v>
      </c>
      <c r="F1026" t="s">
        <v>776</v>
      </c>
      <c r="H1026" t="s">
        <v>1669</v>
      </c>
      <c r="I1026" t="s">
        <v>1670</v>
      </c>
      <c r="J1026" t="s">
        <v>1674</v>
      </c>
      <c r="K1026">
        <v>13</v>
      </c>
      <c r="L1026">
        <v>1</v>
      </c>
      <c r="M1026">
        <v>14</v>
      </c>
      <c r="N1026">
        <v>10</v>
      </c>
      <c r="O1026">
        <v>0</v>
      </c>
      <c r="P1026">
        <v>10</v>
      </c>
      <c r="Q1026">
        <f>N1026-K1026</f>
        <v>-3</v>
      </c>
      <c r="R1026">
        <f>O1026-L1026</f>
        <v>-1</v>
      </c>
      <c r="S1026">
        <f>P1026-M1026</f>
        <v>-4</v>
      </c>
      <c r="T1026">
        <v>11</v>
      </c>
      <c r="U1026" s="14">
        <v>80689.48000000001</v>
      </c>
      <c r="V1026" s="14">
        <v>26</v>
      </c>
      <c r="W1026" s="16">
        <v>2.6079548881864287E-4</v>
      </c>
      <c r="X1026" s="16">
        <v>4.7086777308519806E-5</v>
      </c>
    </row>
    <row r="1027" spans="1:24" x14ac:dyDescent="0.2">
      <c r="A1027" t="s">
        <v>17</v>
      </c>
      <c r="B1027" t="s">
        <v>24</v>
      </c>
      <c r="C1027" t="s">
        <v>49</v>
      </c>
      <c r="D1027" t="s">
        <v>152</v>
      </c>
      <c r="E1027" t="s">
        <v>485</v>
      </c>
      <c r="F1027" t="s">
        <v>1086</v>
      </c>
      <c r="H1027" t="s">
        <v>1669</v>
      </c>
      <c r="I1027" t="s">
        <v>1671</v>
      </c>
      <c r="J1027" t="s">
        <v>1674</v>
      </c>
      <c r="K1027">
        <v>4</v>
      </c>
      <c r="L1027">
        <v>1</v>
      </c>
      <c r="M1027">
        <v>5</v>
      </c>
      <c r="N1027">
        <v>1</v>
      </c>
      <c r="O1027">
        <v>0</v>
      </c>
      <c r="P1027">
        <v>1</v>
      </c>
      <c r="Q1027">
        <f>N1027-K1027</f>
        <v>-3</v>
      </c>
      <c r="R1027">
        <f>O1027-L1027</f>
        <v>-1</v>
      </c>
      <c r="S1027">
        <f>P1027-M1027</f>
        <v>-4</v>
      </c>
      <c r="T1027">
        <v>77</v>
      </c>
      <c r="U1027" s="14">
        <v>288444.48999999987</v>
      </c>
      <c r="V1027" s="14">
        <v>549</v>
      </c>
      <c r="W1027" s="16">
        <v>9.3227793470219544E-4</v>
      </c>
      <c r="X1027" s="16">
        <v>9.9425541316836051E-4</v>
      </c>
    </row>
    <row r="1028" spans="1:24" x14ac:dyDescent="0.2">
      <c r="A1028" t="s">
        <v>17</v>
      </c>
      <c r="B1028" t="s">
        <v>23</v>
      </c>
      <c r="C1028" t="s">
        <v>45</v>
      </c>
      <c r="D1028" t="s">
        <v>121</v>
      </c>
      <c r="E1028" t="s">
        <v>364</v>
      </c>
      <c r="F1028" t="s">
        <v>1100</v>
      </c>
      <c r="H1028" t="s">
        <v>1669</v>
      </c>
      <c r="I1028" t="s">
        <v>1671</v>
      </c>
      <c r="J1028" t="s">
        <v>1674</v>
      </c>
      <c r="K1028">
        <v>9</v>
      </c>
      <c r="L1028">
        <v>1</v>
      </c>
      <c r="M1028">
        <v>10</v>
      </c>
      <c r="N1028">
        <v>6</v>
      </c>
      <c r="O1028">
        <v>0</v>
      </c>
      <c r="P1028">
        <v>6</v>
      </c>
      <c r="Q1028">
        <f>N1028-K1028</f>
        <v>-3</v>
      </c>
      <c r="R1028">
        <f>O1028-L1028</f>
        <v>-1</v>
      </c>
      <c r="S1028">
        <f>P1028-M1028</f>
        <v>-4</v>
      </c>
      <c r="T1028">
        <v>1</v>
      </c>
      <c r="U1028" s="14">
        <v>16815.03</v>
      </c>
      <c r="V1028" s="14">
        <v>47</v>
      </c>
      <c r="W1028" s="16">
        <v>5.4347654345400956E-5</v>
      </c>
      <c r="X1028" s="16">
        <v>8.5118405134631959E-5</v>
      </c>
    </row>
    <row r="1029" spans="1:24" x14ac:dyDescent="0.2">
      <c r="A1029" t="s">
        <v>13</v>
      </c>
      <c r="B1029" t="s">
        <v>20</v>
      </c>
      <c r="C1029" t="s">
        <v>33</v>
      </c>
      <c r="D1029" t="s">
        <v>87</v>
      </c>
      <c r="E1029" t="s">
        <v>297</v>
      </c>
      <c r="F1029" t="s">
        <v>765</v>
      </c>
      <c r="H1029" t="s">
        <v>1669</v>
      </c>
      <c r="I1029" t="s">
        <v>1671</v>
      </c>
      <c r="J1029" t="s">
        <v>1674</v>
      </c>
      <c r="K1029">
        <v>11</v>
      </c>
      <c r="L1029">
        <v>1</v>
      </c>
      <c r="M1029">
        <v>12</v>
      </c>
      <c r="N1029">
        <v>6</v>
      </c>
      <c r="O1029">
        <v>1</v>
      </c>
      <c r="P1029">
        <v>7</v>
      </c>
      <c r="Q1029">
        <f>N1029-K1029</f>
        <v>-5</v>
      </c>
      <c r="R1029">
        <f>O1029-L1029</f>
        <v>0</v>
      </c>
      <c r="S1029">
        <f>P1029-M1029</f>
        <v>-5</v>
      </c>
      <c r="T1029">
        <v>15</v>
      </c>
      <c r="U1029" s="14">
        <v>95662.85</v>
      </c>
      <c r="V1029" s="14">
        <v>56</v>
      </c>
      <c r="W1029" s="16">
        <v>3.0919073623394906E-4</v>
      </c>
      <c r="X1029" s="16">
        <v>1.0141767420296575E-4</v>
      </c>
    </row>
    <row r="1030" spans="1:24" x14ac:dyDescent="0.2">
      <c r="A1030" t="s">
        <v>13</v>
      </c>
      <c r="B1030" t="s">
        <v>20</v>
      </c>
      <c r="C1030" t="s">
        <v>33</v>
      </c>
      <c r="D1030" t="s">
        <v>87</v>
      </c>
      <c r="E1030" t="s">
        <v>297</v>
      </c>
      <c r="F1030" t="s">
        <v>769</v>
      </c>
      <c r="H1030" t="s">
        <v>1669</v>
      </c>
      <c r="I1030" t="s">
        <v>1671</v>
      </c>
      <c r="J1030" t="s">
        <v>1674</v>
      </c>
      <c r="K1030">
        <v>10</v>
      </c>
      <c r="L1030">
        <v>1</v>
      </c>
      <c r="M1030">
        <v>11</v>
      </c>
      <c r="N1030">
        <v>5</v>
      </c>
      <c r="O1030">
        <v>1</v>
      </c>
      <c r="P1030">
        <v>6</v>
      </c>
      <c r="Q1030">
        <f>N1030-K1030</f>
        <v>-5</v>
      </c>
      <c r="R1030">
        <f>O1030-L1030</f>
        <v>0</v>
      </c>
      <c r="S1030">
        <f>P1030-M1030</f>
        <v>-5</v>
      </c>
      <c r="T1030">
        <v>9</v>
      </c>
      <c r="U1030" s="14">
        <v>86800</v>
      </c>
      <c r="V1030" s="14">
        <v>28</v>
      </c>
      <c r="W1030" s="16">
        <v>2.8054522633505876E-4</v>
      </c>
      <c r="X1030" s="16">
        <v>5.0708837101482874E-5</v>
      </c>
    </row>
    <row r="1031" spans="1:24" x14ac:dyDescent="0.2">
      <c r="A1031" t="s">
        <v>13</v>
      </c>
      <c r="B1031" t="s">
        <v>20</v>
      </c>
      <c r="C1031" t="s">
        <v>31</v>
      </c>
      <c r="D1031" t="s">
        <v>94</v>
      </c>
      <c r="E1031" t="s">
        <v>322</v>
      </c>
      <c r="F1031" t="s">
        <v>832</v>
      </c>
      <c r="H1031" t="s">
        <v>1669</v>
      </c>
      <c r="I1031" t="s">
        <v>1670</v>
      </c>
      <c r="J1031" t="s">
        <v>1674</v>
      </c>
      <c r="K1031">
        <v>7</v>
      </c>
      <c r="L1031">
        <v>0</v>
      </c>
      <c r="M1031">
        <v>7</v>
      </c>
      <c r="N1031">
        <v>2</v>
      </c>
      <c r="O1031">
        <v>0</v>
      </c>
      <c r="P1031">
        <v>2</v>
      </c>
      <c r="Q1031">
        <f>N1031-K1031</f>
        <v>-5</v>
      </c>
      <c r="R1031">
        <f>O1031-L1031</f>
        <v>0</v>
      </c>
      <c r="S1031">
        <f>P1031-M1031</f>
        <v>-5</v>
      </c>
      <c r="T1031">
        <v>1</v>
      </c>
      <c r="U1031" s="14">
        <v>2651</v>
      </c>
      <c r="V1031" s="14">
        <v>1</v>
      </c>
      <c r="W1031" s="16">
        <v>8.5682649195189035E-6</v>
      </c>
      <c r="X1031" s="16">
        <v>1.8110298964815312E-6</v>
      </c>
    </row>
    <row r="1032" spans="1:24" x14ac:dyDescent="0.2">
      <c r="A1032" t="s">
        <v>14</v>
      </c>
      <c r="B1032" s="35" t="s">
        <v>19</v>
      </c>
      <c r="C1032" t="s">
        <v>47</v>
      </c>
      <c r="D1032" t="s">
        <v>128</v>
      </c>
      <c r="E1032" t="s">
        <v>128</v>
      </c>
      <c r="F1032" t="s">
        <v>885</v>
      </c>
      <c r="H1032" t="s">
        <v>1670</v>
      </c>
      <c r="I1032" t="s">
        <v>1670</v>
      </c>
      <c r="J1032" t="s">
        <v>1674</v>
      </c>
      <c r="K1032">
        <v>1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f>N1032-K1032</f>
        <v>0</v>
      </c>
      <c r="R1032">
        <f>O1032-L1032</f>
        <v>0</v>
      </c>
      <c r="S1032">
        <f>P1032-M1032</f>
        <v>0</v>
      </c>
      <c r="T1032">
        <v>0</v>
      </c>
      <c r="U1032" s="14">
        <v>0</v>
      </c>
      <c r="V1032" s="14">
        <v>0</v>
      </c>
      <c r="W1032" s="16">
        <v>0</v>
      </c>
      <c r="X1032" s="16">
        <v>0</v>
      </c>
    </row>
    <row r="1033" spans="1:24" x14ac:dyDescent="0.2">
      <c r="A1033" t="s">
        <v>14</v>
      </c>
      <c r="B1033" s="35" t="s">
        <v>19</v>
      </c>
      <c r="C1033" t="s">
        <v>48</v>
      </c>
      <c r="D1033" t="s">
        <v>130</v>
      </c>
      <c r="E1033" t="s">
        <v>372</v>
      </c>
      <c r="F1033" t="s">
        <v>888</v>
      </c>
      <c r="H1033" t="s">
        <v>1670</v>
      </c>
      <c r="I1033" t="s">
        <v>1670</v>
      </c>
      <c r="J1033" t="s">
        <v>1674</v>
      </c>
      <c r="K1033">
        <v>1</v>
      </c>
      <c r="L1033">
        <v>0</v>
      </c>
      <c r="M1033">
        <v>1</v>
      </c>
      <c r="N1033">
        <v>1</v>
      </c>
      <c r="O1033">
        <v>0</v>
      </c>
      <c r="P1033">
        <v>1</v>
      </c>
      <c r="Q1033">
        <f>N1033-K1033</f>
        <v>0</v>
      </c>
      <c r="R1033">
        <f>O1033-L1033</f>
        <v>0</v>
      </c>
      <c r="S1033">
        <f>P1033-M1033</f>
        <v>0</v>
      </c>
      <c r="T1033">
        <v>0</v>
      </c>
      <c r="U1033" s="14">
        <v>0</v>
      </c>
      <c r="V1033" s="14">
        <v>0</v>
      </c>
      <c r="W1033" s="16">
        <v>0</v>
      </c>
      <c r="X1033" s="16">
        <v>0</v>
      </c>
    </row>
    <row r="1034" spans="1:24" x14ac:dyDescent="0.2">
      <c r="A1034" t="s">
        <v>14</v>
      </c>
      <c r="B1034" s="35" t="s">
        <v>19</v>
      </c>
      <c r="C1034" t="s">
        <v>48</v>
      </c>
      <c r="D1034" t="s">
        <v>131</v>
      </c>
      <c r="E1034" t="s">
        <v>374</v>
      </c>
      <c r="F1034" t="s">
        <v>893</v>
      </c>
      <c r="H1034" t="s">
        <v>1670</v>
      </c>
      <c r="I1034" t="s">
        <v>1670</v>
      </c>
      <c r="J1034" t="s">
        <v>1674</v>
      </c>
      <c r="K1034">
        <v>1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f>N1034-K1034</f>
        <v>0</v>
      </c>
      <c r="R1034">
        <f>O1034-L1034</f>
        <v>0</v>
      </c>
      <c r="S1034">
        <f>P1034-M1034</f>
        <v>0</v>
      </c>
      <c r="T1034">
        <v>0</v>
      </c>
      <c r="U1034" s="14">
        <v>0</v>
      </c>
      <c r="V1034" s="14">
        <v>0</v>
      </c>
      <c r="W1034" s="16">
        <v>0</v>
      </c>
      <c r="X1034" s="16">
        <v>0</v>
      </c>
    </row>
    <row r="1035" spans="1:24" x14ac:dyDescent="0.2">
      <c r="A1035" t="s">
        <v>14</v>
      </c>
      <c r="B1035" s="35" t="s">
        <v>19</v>
      </c>
      <c r="C1035" t="s">
        <v>27</v>
      </c>
      <c r="D1035" t="s">
        <v>136</v>
      </c>
      <c r="E1035" t="s">
        <v>386</v>
      </c>
      <c r="F1035" t="s">
        <v>905</v>
      </c>
      <c r="H1035" t="s">
        <v>1670</v>
      </c>
      <c r="I1035" t="s">
        <v>1670</v>
      </c>
      <c r="J1035" t="s">
        <v>1674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f>N1035-K1035</f>
        <v>0</v>
      </c>
      <c r="R1035">
        <f>O1035-L1035</f>
        <v>0</v>
      </c>
      <c r="S1035">
        <f>P1035-M1035</f>
        <v>0</v>
      </c>
      <c r="T1035">
        <v>0</v>
      </c>
      <c r="U1035" s="14">
        <v>0</v>
      </c>
      <c r="V1035" s="14">
        <v>0</v>
      </c>
      <c r="W1035" s="16">
        <v>0</v>
      </c>
      <c r="X1035" s="16">
        <v>0</v>
      </c>
    </row>
    <row r="1036" spans="1:24" x14ac:dyDescent="0.2">
      <c r="A1036" t="s">
        <v>15</v>
      </c>
      <c r="B1036" t="s">
        <v>24</v>
      </c>
      <c r="C1036" t="s">
        <v>58</v>
      </c>
      <c r="D1036" t="s">
        <v>148</v>
      </c>
      <c r="E1036" t="s">
        <v>406</v>
      </c>
      <c r="F1036" t="s">
        <v>931</v>
      </c>
      <c r="H1036" t="s">
        <v>1669</v>
      </c>
      <c r="I1036" t="s">
        <v>1670</v>
      </c>
      <c r="J1036" t="s">
        <v>1674</v>
      </c>
      <c r="K1036">
        <v>5</v>
      </c>
      <c r="L1036">
        <v>0</v>
      </c>
      <c r="M1036">
        <v>5</v>
      </c>
      <c r="N1036">
        <v>0</v>
      </c>
      <c r="O1036">
        <v>0</v>
      </c>
      <c r="P1036">
        <v>0</v>
      </c>
      <c r="Q1036">
        <f>N1036-K1036</f>
        <v>-5</v>
      </c>
      <c r="R1036">
        <f>O1036-L1036</f>
        <v>0</v>
      </c>
      <c r="S1036">
        <f>P1036-M1036</f>
        <v>-5</v>
      </c>
      <c r="T1036">
        <v>0</v>
      </c>
      <c r="U1036" s="14">
        <v>0</v>
      </c>
      <c r="V1036" s="14">
        <v>0</v>
      </c>
      <c r="W1036" s="16">
        <v>0</v>
      </c>
      <c r="X1036" s="16">
        <v>0</v>
      </c>
    </row>
    <row r="1037" spans="1:24" x14ac:dyDescent="0.2">
      <c r="A1037" t="s">
        <v>15</v>
      </c>
      <c r="B1037" t="s">
        <v>24</v>
      </c>
      <c r="C1037" t="s">
        <v>58</v>
      </c>
      <c r="D1037" t="s">
        <v>148</v>
      </c>
      <c r="E1037" t="s">
        <v>407</v>
      </c>
      <c r="F1037" t="s">
        <v>947</v>
      </c>
      <c r="H1037" t="s">
        <v>1669</v>
      </c>
      <c r="I1037" t="s">
        <v>1670</v>
      </c>
      <c r="J1037" t="s">
        <v>1674</v>
      </c>
      <c r="K1037">
        <v>9</v>
      </c>
      <c r="L1037">
        <v>0</v>
      </c>
      <c r="M1037">
        <v>9</v>
      </c>
      <c r="N1037">
        <v>4</v>
      </c>
      <c r="O1037">
        <v>0</v>
      </c>
      <c r="P1037">
        <v>4</v>
      </c>
      <c r="Q1037">
        <f>N1037-K1037</f>
        <v>-5</v>
      </c>
      <c r="R1037">
        <f>O1037-L1037</f>
        <v>0</v>
      </c>
      <c r="S1037">
        <f>P1037-M1037</f>
        <v>-5</v>
      </c>
      <c r="T1037">
        <v>50</v>
      </c>
      <c r="U1037" s="14">
        <v>98266.87000000001</v>
      </c>
      <c r="V1037" s="14">
        <v>233</v>
      </c>
      <c r="W1037" s="16">
        <v>3.1760715766575808E-4</v>
      </c>
      <c r="X1037" s="16">
        <v>4.2196996588019674E-4</v>
      </c>
    </row>
    <row r="1038" spans="1:24" x14ac:dyDescent="0.2">
      <c r="A1038" t="s">
        <v>15</v>
      </c>
      <c r="B1038" t="s">
        <v>24</v>
      </c>
      <c r="C1038" t="s">
        <v>58</v>
      </c>
      <c r="D1038" t="s">
        <v>150</v>
      </c>
      <c r="E1038" t="s">
        <v>425</v>
      </c>
      <c r="F1038" t="s">
        <v>975</v>
      </c>
      <c r="H1038" t="s">
        <v>1669</v>
      </c>
      <c r="I1038" t="s">
        <v>1670</v>
      </c>
      <c r="J1038" t="s">
        <v>1674</v>
      </c>
      <c r="K1038">
        <v>8</v>
      </c>
      <c r="L1038">
        <v>1</v>
      </c>
      <c r="M1038">
        <v>9</v>
      </c>
      <c r="N1038">
        <v>3</v>
      </c>
      <c r="O1038">
        <v>1</v>
      </c>
      <c r="P1038">
        <v>4</v>
      </c>
      <c r="Q1038">
        <f>N1038-K1038</f>
        <v>-5</v>
      </c>
      <c r="R1038">
        <f>O1038-L1038</f>
        <v>0</v>
      </c>
      <c r="S1038">
        <f>P1038-M1038</f>
        <v>-5</v>
      </c>
      <c r="T1038">
        <v>18</v>
      </c>
      <c r="U1038" s="14">
        <v>23606.06</v>
      </c>
      <c r="V1038" s="14">
        <v>150</v>
      </c>
      <c r="W1038" s="16">
        <v>7.629685997210804E-5</v>
      </c>
      <c r="X1038" s="16">
        <v>2.7165448447222967E-4</v>
      </c>
    </row>
    <row r="1039" spans="1:24" x14ac:dyDescent="0.2">
      <c r="A1039" t="s">
        <v>14</v>
      </c>
      <c r="B1039" s="35" t="s">
        <v>19</v>
      </c>
      <c r="C1039" t="s">
        <v>53</v>
      </c>
      <c r="D1039" t="s">
        <v>141</v>
      </c>
      <c r="E1039" t="s">
        <v>393</v>
      </c>
      <c r="F1039" t="s">
        <v>910</v>
      </c>
      <c r="H1039" t="s">
        <v>1670</v>
      </c>
      <c r="I1039" t="s">
        <v>1670</v>
      </c>
      <c r="J1039" t="s">
        <v>1674</v>
      </c>
      <c r="K1039">
        <v>1</v>
      </c>
      <c r="L1039">
        <v>0</v>
      </c>
      <c r="M1039">
        <v>1</v>
      </c>
      <c r="N1039">
        <v>1</v>
      </c>
      <c r="O1039">
        <v>0</v>
      </c>
      <c r="P1039">
        <v>1</v>
      </c>
      <c r="Q1039">
        <f>N1039-K1039</f>
        <v>0</v>
      </c>
      <c r="R1039">
        <f>O1039-L1039</f>
        <v>0</v>
      </c>
      <c r="S1039">
        <f>P1039-M1039</f>
        <v>0</v>
      </c>
      <c r="T1039">
        <v>0</v>
      </c>
      <c r="U1039" s="14">
        <v>0</v>
      </c>
      <c r="V1039" s="14">
        <v>0</v>
      </c>
      <c r="W1039" s="16">
        <v>0</v>
      </c>
      <c r="X1039" s="16">
        <v>0</v>
      </c>
    </row>
    <row r="1040" spans="1:24" x14ac:dyDescent="0.2">
      <c r="A1040" t="s">
        <v>14</v>
      </c>
      <c r="B1040" s="35" t="s">
        <v>19</v>
      </c>
      <c r="C1040" t="s">
        <v>53</v>
      </c>
      <c r="D1040" t="s">
        <v>141</v>
      </c>
      <c r="E1040" t="s">
        <v>393</v>
      </c>
      <c r="F1040" t="s">
        <v>911</v>
      </c>
      <c r="H1040" t="s">
        <v>1670</v>
      </c>
      <c r="I1040" t="s">
        <v>1670</v>
      </c>
      <c r="J1040" t="s">
        <v>1674</v>
      </c>
      <c r="K1040">
        <v>1</v>
      </c>
      <c r="L1040">
        <v>0</v>
      </c>
      <c r="M1040">
        <v>1</v>
      </c>
      <c r="N1040">
        <v>1</v>
      </c>
      <c r="O1040">
        <v>0</v>
      </c>
      <c r="P1040">
        <v>1</v>
      </c>
      <c r="Q1040">
        <f>N1040-K1040</f>
        <v>0</v>
      </c>
      <c r="R1040">
        <f>O1040-L1040</f>
        <v>0</v>
      </c>
      <c r="S1040">
        <f>P1040-M1040</f>
        <v>0</v>
      </c>
      <c r="T1040">
        <v>0</v>
      </c>
      <c r="U1040" s="14">
        <v>0</v>
      </c>
      <c r="V1040" s="14">
        <v>0</v>
      </c>
      <c r="W1040" s="16">
        <v>0</v>
      </c>
      <c r="X1040" s="16">
        <v>0</v>
      </c>
    </row>
    <row r="1041" spans="1:24" x14ac:dyDescent="0.2">
      <c r="A1041" t="s">
        <v>17</v>
      </c>
      <c r="B1041" t="s">
        <v>24</v>
      </c>
      <c r="C1041" t="s">
        <v>49</v>
      </c>
      <c r="D1041" t="s">
        <v>152</v>
      </c>
      <c r="E1041" t="s">
        <v>486</v>
      </c>
      <c r="F1041" t="s">
        <v>486</v>
      </c>
      <c r="H1041" t="s">
        <v>1669</v>
      </c>
      <c r="I1041" t="s">
        <v>1671</v>
      </c>
      <c r="J1041" t="s">
        <v>1674</v>
      </c>
      <c r="K1041">
        <v>10</v>
      </c>
      <c r="L1041">
        <v>1</v>
      </c>
      <c r="M1041">
        <v>11</v>
      </c>
      <c r="N1041">
        <v>6</v>
      </c>
      <c r="O1041">
        <v>0</v>
      </c>
      <c r="P1041">
        <v>6</v>
      </c>
      <c r="Q1041">
        <f>N1041-K1041</f>
        <v>-4</v>
      </c>
      <c r="R1041">
        <f>O1041-L1041</f>
        <v>-1</v>
      </c>
      <c r="S1041">
        <f>P1041-M1041</f>
        <v>-5</v>
      </c>
      <c r="T1041">
        <v>252</v>
      </c>
      <c r="U1041" s="14">
        <v>682773.05999999994</v>
      </c>
      <c r="V1041" s="14">
        <v>1237</v>
      </c>
      <c r="W1041" s="16">
        <v>2.2067825190458601E-3</v>
      </c>
      <c r="X1041" s="16">
        <v>2.2402439819476541E-3</v>
      </c>
    </row>
    <row r="1042" spans="1:24" x14ac:dyDescent="0.2">
      <c r="A1042" t="s">
        <v>17</v>
      </c>
      <c r="B1042" t="s">
        <v>21</v>
      </c>
      <c r="C1042" t="s">
        <v>35</v>
      </c>
      <c r="D1042" t="s">
        <v>86</v>
      </c>
      <c r="E1042" t="s">
        <v>86</v>
      </c>
      <c r="F1042" t="s">
        <v>1120</v>
      </c>
      <c r="H1042" t="s">
        <v>1669</v>
      </c>
      <c r="I1042" t="s">
        <v>1670</v>
      </c>
      <c r="J1042" t="s">
        <v>1674</v>
      </c>
      <c r="K1042">
        <v>4</v>
      </c>
      <c r="L1042">
        <v>1</v>
      </c>
      <c r="M1042">
        <v>5</v>
      </c>
      <c r="N1042">
        <v>0</v>
      </c>
      <c r="O1042">
        <v>0</v>
      </c>
      <c r="P1042">
        <v>0</v>
      </c>
      <c r="Q1042">
        <f>N1042-K1042</f>
        <v>-4</v>
      </c>
      <c r="R1042">
        <f>O1042-L1042</f>
        <v>-1</v>
      </c>
      <c r="S1042">
        <f>P1042-M1042</f>
        <v>-5</v>
      </c>
      <c r="T1042">
        <v>7</v>
      </c>
      <c r="U1042" s="14">
        <v>18708.43</v>
      </c>
      <c r="V1042" s="14">
        <v>79</v>
      </c>
      <c r="W1042" s="16">
        <v>6.0467289501424009E-5</v>
      </c>
      <c r="X1042" s="16">
        <v>1.4307136182204096E-4</v>
      </c>
    </row>
    <row r="1043" spans="1:24" x14ac:dyDescent="0.2">
      <c r="A1043" t="s">
        <v>15</v>
      </c>
      <c r="B1043" t="s">
        <v>24</v>
      </c>
      <c r="C1043" t="s">
        <v>58</v>
      </c>
      <c r="D1043" t="s">
        <v>148</v>
      </c>
      <c r="E1043" t="s">
        <v>406</v>
      </c>
      <c r="F1043" t="s">
        <v>935</v>
      </c>
      <c r="H1043" t="s">
        <v>1669</v>
      </c>
      <c r="I1043" t="s">
        <v>1670</v>
      </c>
      <c r="J1043" t="s">
        <v>1674</v>
      </c>
      <c r="K1043">
        <v>4</v>
      </c>
      <c r="L1043">
        <v>2</v>
      </c>
      <c r="M1043">
        <v>6</v>
      </c>
      <c r="N1043">
        <v>1</v>
      </c>
      <c r="O1043">
        <v>0</v>
      </c>
      <c r="P1043">
        <v>1</v>
      </c>
      <c r="Q1043">
        <f>N1043-K1043</f>
        <v>-3</v>
      </c>
      <c r="R1043">
        <f>O1043-L1043</f>
        <v>-2</v>
      </c>
      <c r="S1043">
        <f>P1043-M1043</f>
        <v>-5</v>
      </c>
      <c r="T1043">
        <v>16</v>
      </c>
      <c r="U1043" s="14">
        <v>5757</v>
      </c>
      <c r="V1043" s="14">
        <v>26</v>
      </c>
      <c r="W1043" s="16">
        <v>1.8607129815794165E-5</v>
      </c>
      <c r="X1043" s="16">
        <v>4.7086777308519806E-5</v>
      </c>
    </row>
    <row r="1044" spans="1:24" x14ac:dyDescent="0.2">
      <c r="A1044" t="s">
        <v>15</v>
      </c>
      <c r="B1044" t="s">
        <v>24</v>
      </c>
      <c r="C1044" t="s">
        <v>58</v>
      </c>
      <c r="D1044" t="s">
        <v>150</v>
      </c>
      <c r="E1044" t="s">
        <v>425</v>
      </c>
      <c r="F1044" t="s">
        <v>979</v>
      </c>
      <c r="H1044" t="s">
        <v>1669</v>
      </c>
      <c r="I1044" t="s">
        <v>1671</v>
      </c>
      <c r="J1044" t="s">
        <v>1674</v>
      </c>
      <c r="K1044">
        <v>5</v>
      </c>
      <c r="L1044">
        <v>3</v>
      </c>
      <c r="M1044">
        <v>8</v>
      </c>
      <c r="N1044">
        <v>3</v>
      </c>
      <c r="O1044">
        <v>0</v>
      </c>
      <c r="P1044">
        <v>3</v>
      </c>
      <c r="Q1044">
        <f>N1044-K1044</f>
        <v>-2</v>
      </c>
      <c r="R1044">
        <f>O1044-L1044</f>
        <v>-3</v>
      </c>
      <c r="S1044">
        <f>P1044-M1044</f>
        <v>-5</v>
      </c>
      <c r="T1044">
        <v>14</v>
      </c>
      <c r="U1044" s="14">
        <v>36486.25</v>
      </c>
      <c r="V1044" s="14">
        <v>136</v>
      </c>
      <c r="W1044" s="16">
        <v>1.1792676571852003E-4</v>
      </c>
      <c r="X1044" s="16">
        <v>2.4630006592148824E-4</v>
      </c>
    </row>
    <row r="1045" spans="1:24" x14ac:dyDescent="0.2">
      <c r="A1045" t="s">
        <v>15</v>
      </c>
      <c r="B1045" t="s">
        <v>24</v>
      </c>
      <c r="C1045" t="s">
        <v>58</v>
      </c>
      <c r="D1045" t="s">
        <v>150</v>
      </c>
      <c r="E1045" t="s">
        <v>425</v>
      </c>
      <c r="F1045" t="s">
        <v>977</v>
      </c>
      <c r="H1045" t="s">
        <v>1669</v>
      </c>
      <c r="I1045" t="s">
        <v>1670</v>
      </c>
      <c r="J1045" t="s">
        <v>1674</v>
      </c>
      <c r="K1045">
        <v>2</v>
      </c>
      <c r="L1045">
        <v>5</v>
      </c>
      <c r="M1045">
        <v>7</v>
      </c>
      <c r="N1045">
        <v>2</v>
      </c>
      <c r="O1045">
        <v>0</v>
      </c>
      <c r="P1045">
        <v>2</v>
      </c>
      <c r="Q1045">
        <f>N1045-K1045</f>
        <v>0</v>
      </c>
      <c r="R1045">
        <f>O1045-L1045</f>
        <v>-5</v>
      </c>
      <c r="S1045">
        <f>P1045-M1045</f>
        <v>-5</v>
      </c>
      <c r="T1045">
        <v>15</v>
      </c>
      <c r="U1045" s="14">
        <v>16780</v>
      </c>
      <c r="V1045" s="14">
        <v>102</v>
      </c>
      <c r="W1045" s="16">
        <v>5.4234434307630023E-5</v>
      </c>
      <c r="X1045" s="16">
        <v>1.8472504944111616E-4</v>
      </c>
    </row>
    <row r="1046" spans="1:24" x14ac:dyDescent="0.2">
      <c r="A1046" t="s">
        <v>14</v>
      </c>
      <c r="B1046" s="35" t="s">
        <v>19</v>
      </c>
      <c r="C1046" t="s">
        <v>53</v>
      </c>
      <c r="D1046" t="s">
        <v>141</v>
      </c>
      <c r="E1046" t="s">
        <v>393</v>
      </c>
      <c r="F1046" t="s">
        <v>912</v>
      </c>
      <c r="H1046" t="s">
        <v>1670</v>
      </c>
      <c r="I1046" t="s">
        <v>1670</v>
      </c>
      <c r="J1046" t="s">
        <v>1674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1</v>
      </c>
      <c r="Q1046">
        <f>N1046-K1046</f>
        <v>0</v>
      </c>
      <c r="R1046">
        <f>O1046-L1046</f>
        <v>0</v>
      </c>
      <c r="S1046">
        <f>P1046-M1046</f>
        <v>0</v>
      </c>
      <c r="T1046">
        <v>0</v>
      </c>
      <c r="U1046" s="14">
        <v>0</v>
      </c>
      <c r="V1046" s="14">
        <v>0</v>
      </c>
      <c r="W1046" s="16">
        <v>0</v>
      </c>
      <c r="X1046" s="16">
        <v>0</v>
      </c>
    </row>
    <row r="1047" spans="1:24" x14ac:dyDescent="0.2">
      <c r="A1047" t="s">
        <v>13</v>
      </c>
      <c r="B1047" t="s">
        <v>20</v>
      </c>
      <c r="C1047" t="s">
        <v>33</v>
      </c>
      <c r="D1047" t="s">
        <v>87</v>
      </c>
      <c r="E1047" t="s">
        <v>296</v>
      </c>
      <c r="F1047" t="s">
        <v>759</v>
      </c>
      <c r="H1047" t="s">
        <v>1669</v>
      </c>
      <c r="I1047" t="s">
        <v>1670</v>
      </c>
      <c r="J1047" t="s">
        <v>1674</v>
      </c>
      <c r="K1047">
        <v>7</v>
      </c>
      <c r="L1047">
        <v>0</v>
      </c>
      <c r="M1047">
        <v>7</v>
      </c>
      <c r="N1047">
        <v>1</v>
      </c>
      <c r="O1047">
        <v>0</v>
      </c>
      <c r="P1047">
        <v>1</v>
      </c>
      <c r="Q1047">
        <f>N1047-K1047</f>
        <v>-6</v>
      </c>
      <c r="R1047">
        <f>O1047-L1047</f>
        <v>0</v>
      </c>
      <c r="S1047">
        <f>P1047-M1047</f>
        <v>-6</v>
      </c>
      <c r="T1047">
        <v>8</v>
      </c>
      <c r="U1047" s="14">
        <v>106371</v>
      </c>
      <c r="V1047" s="14">
        <v>15</v>
      </c>
      <c r="W1047" s="16">
        <v>3.438004178627481E-4</v>
      </c>
      <c r="X1047" s="16">
        <v>2.7165448447222968E-5</v>
      </c>
    </row>
    <row r="1048" spans="1:24" x14ac:dyDescent="0.2">
      <c r="A1048" t="s">
        <v>14</v>
      </c>
      <c r="B1048" s="35" t="s">
        <v>19</v>
      </c>
      <c r="C1048" t="s">
        <v>53</v>
      </c>
      <c r="D1048" t="s">
        <v>141</v>
      </c>
      <c r="E1048" t="s">
        <v>393</v>
      </c>
      <c r="F1048" t="s">
        <v>913</v>
      </c>
      <c r="H1048" t="s">
        <v>1670</v>
      </c>
      <c r="I1048" t="s">
        <v>1670</v>
      </c>
      <c r="J1048" t="s">
        <v>1674</v>
      </c>
      <c r="K1048">
        <v>1</v>
      </c>
      <c r="L1048">
        <v>0</v>
      </c>
      <c r="M1048">
        <v>1</v>
      </c>
      <c r="N1048">
        <v>1</v>
      </c>
      <c r="O1048">
        <v>0</v>
      </c>
      <c r="P1048">
        <v>1</v>
      </c>
      <c r="Q1048">
        <f>N1048-K1048</f>
        <v>0</v>
      </c>
      <c r="R1048">
        <f>O1048-L1048</f>
        <v>0</v>
      </c>
      <c r="S1048">
        <f>P1048-M1048</f>
        <v>0</v>
      </c>
      <c r="T1048">
        <v>0</v>
      </c>
      <c r="U1048" s="14">
        <v>0</v>
      </c>
      <c r="V1048" s="14">
        <v>0</v>
      </c>
      <c r="W1048" s="16">
        <v>0</v>
      </c>
      <c r="X1048" s="16">
        <v>0</v>
      </c>
    </row>
    <row r="1049" spans="1:24" x14ac:dyDescent="0.2">
      <c r="A1049" t="s">
        <v>14</v>
      </c>
      <c r="B1049" t="s">
        <v>25</v>
      </c>
      <c r="C1049" t="s">
        <v>54</v>
      </c>
      <c r="D1049" t="s">
        <v>143</v>
      </c>
      <c r="E1049" t="s">
        <v>395</v>
      </c>
      <c r="F1049" t="s">
        <v>916</v>
      </c>
      <c r="H1049" t="s">
        <v>1670</v>
      </c>
      <c r="I1049" t="s">
        <v>1670</v>
      </c>
      <c r="J1049" t="s">
        <v>1674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f>N1049-K1049</f>
        <v>-1</v>
      </c>
      <c r="R1049">
        <f>O1049-L1049</f>
        <v>0</v>
      </c>
      <c r="S1049">
        <f>P1049-M1049</f>
        <v>-1</v>
      </c>
      <c r="T1049">
        <v>0</v>
      </c>
      <c r="U1049" s="14">
        <v>0</v>
      </c>
      <c r="V1049" s="14">
        <v>0</v>
      </c>
      <c r="W1049" s="16">
        <v>0</v>
      </c>
      <c r="X1049" s="16">
        <v>0</v>
      </c>
    </row>
    <row r="1050" spans="1:24" x14ac:dyDescent="0.2">
      <c r="A1050" t="s">
        <v>14</v>
      </c>
      <c r="B1050" s="35" t="s">
        <v>19</v>
      </c>
      <c r="C1050" t="s">
        <v>56</v>
      </c>
      <c r="D1050" t="s">
        <v>144</v>
      </c>
      <c r="E1050" t="s">
        <v>398</v>
      </c>
      <c r="F1050" t="s">
        <v>919</v>
      </c>
      <c r="H1050" t="s">
        <v>1670</v>
      </c>
      <c r="I1050" t="s">
        <v>1670</v>
      </c>
      <c r="J1050" t="s">
        <v>1674</v>
      </c>
      <c r="K1050">
        <v>1</v>
      </c>
      <c r="L1050">
        <v>0</v>
      </c>
      <c r="M1050">
        <v>1</v>
      </c>
      <c r="N1050">
        <v>1</v>
      </c>
      <c r="O1050">
        <v>0</v>
      </c>
      <c r="P1050">
        <v>1</v>
      </c>
      <c r="Q1050">
        <f>N1050-K1050</f>
        <v>0</v>
      </c>
      <c r="R1050">
        <f>O1050-L1050</f>
        <v>0</v>
      </c>
      <c r="S1050">
        <f>P1050-M1050</f>
        <v>0</v>
      </c>
      <c r="T1050">
        <v>0</v>
      </c>
      <c r="U1050" s="14">
        <v>0</v>
      </c>
      <c r="V1050" s="14">
        <v>0</v>
      </c>
      <c r="W1050" s="16">
        <v>0</v>
      </c>
      <c r="X1050" s="16">
        <v>0</v>
      </c>
    </row>
    <row r="1051" spans="1:24" x14ac:dyDescent="0.2">
      <c r="A1051" t="s">
        <v>14</v>
      </c>
      <c r="B1051" s="35" t="s">
        <v>19</v>
      </c>
      <c r="C1051" t="s">
        <v>56</v>
      </c>
      <c r="D1051" t="s">
        <v>146</v>
      </c>
      <c r="E1051" t="s">
        <v>400</v>
      </c>
      <c r="F1051" t="s">
        <v>921</v>
      </c>
      <c r="H1051" t="s">
        <v>1670</v>
      </c>
      <c r="I1051" t="s">
        <v>1670</v>
      </c>
      <c r="J1051" t="s">
        <v>1674</v>
      </c>
      <c r="K1051">
        <v>1</v>
      </c>
      <c r="L1051">
        <v>0</v>
      </c>
      <c r="M1051">
        <v>1</v>
      </c>
      <c r="N1051">
        <v>1</v>
      </c>
      <c r="O1051">
        <v>0</v>
      </c>
      <c r="P1051">
        <v>1</v>
      </c>
      <c r="Q1051">
        <f>N1051-K1051</f>
        <v>0</v>
      </c>
      <c r="R1051">
        <f>O1051-L1051</f>
        <v>0</v>
      </c>
      <c r="S1051">
        <f>P1051-M1051</f>
        <v>0</v>
      </c>
      <c r="T1051">
        <v>0</v>
      </c>
      <c r="U1051" s="14">
        <v>0</v>
      </c>
      <c r="V1051" s="14">
        <v>0</v>
      </c>
      <c r="W1051" s="16">
        <v>0</v>
      </c>
      <c r="X1051" s="16">
        <v>0</v>
      </c>
    </row>
    <row r="1052" spans="1:24" x14ac:dyDescent="0.2">
      <c r="A1052" t="s">
        <v>15</v>
      </c>
      <c r="B1052" t="s">
        <v>22</v>
      </c>
      <c r="C1052" t="s">
        <v>37</v>
      </c>
      <c r="D1052" t="s">
        <v>154</v>
      </c>
      <c r="E1052" t="s">
        <v>431</v>
      </c>
      <c r="F1052" t="s">
        <v>431</v>
      </c>
      <c r="H1052" t="s">
        <v>1670</v>
      </c>
      <c r="I1052" t="s">
        <v>1670</v>
      </c>
      <c r="J1052" t="s">
        <v>1674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f>N1052-K1052</f>
        <v>-1</v>
      </c>
      <c r="R1052">
        <f>O1052-L1052</f>
        <v>0</v>
      </c>
      <c r="S1052">
        <f>P1052-M1052</f>
        <v>-1</v>
      </c>
      <c r="T1052">
        <v>0</v>
      </c>
      <c r="U1052" s="14">
        <v>0</v>
      </c>
      <c r="V1052" s="14">
        <v>0</v>
      </c>
      <c r="W1052" s="16">
        <v>0</v>
      </c>
      <c r="X1052" s="16">
        <v>0</v>
      </c>
    </row>
    <row r="1053" spans="1:24" x14ac:dyDescent="0.2">
      <c r="A1053" t="s">
        <v>16</v>
      </c>
      <c r="B1053" t="s">
        <v>22</v>
      </c>
      <c r="C1053" t="s">
        <v>39</v>
      </c>
      <c r="D1053" t="s">
        <v>157</v>
      </c>
      <c r="E1053" t="s">
        <v>442</v>
      </c>
      <c r="F1053" t="s">
        <v>1010</v>
      </c>
      <c r="H1053" t="s">
        <v>1670</v>
      </c>
      <c r="I1053" t="s">
        <v>1670</v>
      </c>
      <c r="J1053" t="s">
        <v>1674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f>N1053-K1053</f>
        <v>-1</v>
      </c>
      <c r="R1053">
        <f>O1053-L1053</f>
        <v>0</v>
      </c>
      <c r="S1053">
        <f>P1053-M1053</f>
        <v>-1</v>
      </c>
      <c r="T1053">
        <v>0</v>
      </c>
      <c r="U1053" s="14">
        <v>0</v>
      </c>
      <c r="V1053" s="14">
        <v>0</v>
      </c>
      <c r="W1053" s="16">
        <v>0</v>
      </c>
      <c r="X1053" s="16">
        <v>0</v>
      </c>
    </row>
    <row r="1054" spans="1:24" x14ac:dyDescent="0.2">
      <c r="A1054" t="s">
        <v>15</v>
      </c>
      <c r="B1054" t="s">
        <v>24</v>
      </c>
      <c r="C1054" t="s">
        <v>58</v>
      </c>
      <c r="D1054" t="s">
        <v>148</v>
      </c>
      <c r="E1054" t="s">
        <v>405</v>
      </c>
      <c r="F1054" t="s">
        <v>926</v>
      </c>
      <c r="H1054" t="s">
        <v>1669</v>
      </c>
      <c r="I1054" t="s">
        <v>1671</v>
      </c>
      <c r="J1054" t="s">
        <v>1674</v>
      </c>
      <c r="K1054">
        <v>6</v>
      </c>
      <c r="L1054">
        <v>0</v>
      </c>
      <c r="M1054">
        <v>6</v>
      </c>
      <c r="N1054">
        <v>0</v>
      </c>
      <c r="O1054">
        <v>0</v>
      </c>
      <c r="P1054">
        <v>0</v>
      </c>
      <c r="Q1054">
        <f>N1054-K1054</f>
        <v>-6</v>
      </c>
      <c r="R1054">
        <f>O1054-L1054</f>
        <v>0</v>
      </c>
      <c r="S1054">
        <f>P1054-M1054</f>
        <v>-6</v>
      </c>
      <c r="T1054">
        <v>4</v>
      </c>
      <c r="U1054" s="14">
        <v>5736.2</v>
      </c>
      <c r="V1054" s="14">
        <v>14</v>
      </c>
      <c r="W1054" s="16">
        <v>1.8539902388285301E-5</v>
      </c>
      <c r="X1054" s="16">
        <v>2.5354418550741437E-5</v>
      </c>
    </row>
    <row r="1055" spans="1:24" x14ac:dyDescent="0.2">
      <c r="A1055" t="s">
        <v>16</v>
      </c>
      <c r="B1055" t="s">
        <v>22</v>
      </c>
      <c r="C1055" t="s">
        <v>46</v>
      </c>
      <c r="D1055" t="s">
        <v>171</v>
      </c>
      <c r="E1055" t="s">
        <v>472</v>
      </c>
      <c r="F1055" t="s">
        <v>1052</v>
      </c>
      <c r="H1055" t="s">
        <v>1670</v>
      </c>
      <c r="I1055" t="s">
        <v>1671</v>
      </c>
      <c r="J1055" t="s">
        <v>1674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f>N1055-K1055</f>
        <v>-1</v>
      </c>
      <c r="R1055">
        <f>O1055-L1055</f>
        <v>0</v>
      </c>
      <c r="S1055">
        <f>P1055-M1055</f>
        <v>-1</v>
      </c>
      <c r="T1055">
        <v>0</v>
      </c>
      <c r="U1055" s="14">
        <v>0</v>
      </c>
      <c r="V1055" s="14">
        <v>0</v>
      </c>
      <c r="W1055" s="16">
        <v>0</v>
      </c>
      <c r="X1055" s="16">
        <v>0</v>
      </c>
    </row>
    <row r="1056" spans="1:24" x14ac:dyDescent="0.2">
      <c r="A1056" t="s">
        <v>17</v>
      </c>
      <c r="B1056" t="s">
        <v>24</v>
      </c>
      <c r="C1056" t="s">
        <v>49</v>
      </c>
      <c r="D1056" t="s">
        <v>133</v>
      </c>
      <c r="E1056" t="s">
        <v>377</v>
      </c>
      <c r="F1056" t="s">
        <v>377</v>
      </c>
      <c r="H1056" t="s">
        <v>1669</v>
      </c>
      <c r="I1056" t="s">
        <v>1670</v>
      </c>
      <c r="J1056" t="s">
        <v>1674</v>
      </c>
      <c r="K1056">
        <v>9</v>
      </c>
      <c r="L1056">
        <v>0</v>
      </c>
      <c r="M1056">
        <v>9</v>
      </c>
      <c r="N1056">
        <v>3</v>
      </c>
      <c r="O1056">
        <v>0</v>
      </c>
      <c r="P1056">
        <v>3</v>
      </c>
      <c r="Q1056">
        <f>N1056-K1056</f>
        <v>-6</v>
      </c>
      <c r="R1056">
        <f>O1056-L1056</f>
        <v>0</v>
      </c>
      <c r="S1056">
        <f>P1056-M1056</f>
        <v>-6</v>
      </c>
      <c r="T1056">
        <v>12</v>
      </c>
      <c r="U1056" s="14">
        <v>12077.89</v>
      </c>
      <c r="V1056" s="14">
        <v>28</v>
      </c>
      <c r="W1056" s="16">
        <v>3.9036801655529296E-5</v>
      </c>
      <c r="X1056" s="16">
        <v>5.0708837101482874E-5</v>
      </c>
    </row>
    <row r="1057" spans="1:24" x14ac:dyDescent="0.2">
      <c r="A1057" t="s">
        <v>17</v>
      </c>
      <c r="B1057" t="s">
        <v>22</v>
      </c>
      <c r="C1057" t="s">
        <v>42</v>
      </c>
      <c r="D1057" t="s">
        <v>113</v>
      </c>
      <c r="E1057" t="s">
        <v>451</v>
      </c>
      <c r="F1057" t="s">
        <v>1101</v>
      </c>
      <c r="H1057" t="s">
        <v>1670</v>
      </c>
      <c r="I1057" t="s">
        <v>1670</v>
      </c>
      <c r="J1057" t="s">
        <v>1674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f>N1057-K1057</f>
        <v>-1</v>
      </c>
      <c r="R1057">
        <f>O1057-L1057</f>
        <v>0</v>
      </c>
      <c r="S1057">
        <f>P1057-M1057</f>
        <v>-1</v>
      </c>
      <c r="T1057">
        <v>0</v>
      </c>
      <c r="U1057" s="14">
        <v>0</v>
      </c>
      <c r="V1057" s="14">
        <v>0</v>
      </c>
      <c r="W1057" s="16">
        <v>0</v>
      </c>
      <c r="X1057" s="16">
        <v>0</v>
      </c>
    </row>
    <row r="1058" spans="1:24" x14ac:dyDescent="0.2">
      <c r="A1058" t="s">
        <v>17</v>
      </c>
      <c r="B1058" s="35" t="s">
        <v>19</v>
      </c>
      <c r="C1058" t="s">
        <v>52</v>
      </c>
      <c r="D1058" t="s">
        <v>140</v>
      </c>
      <c r="E1058" t="s">
        <v>509</v>
      </c>
      <c r="F1058" t="s">
        <v>1123</v>
      </c>
      <c r="H1058" t="s">
        <v>1670</v>
      </c>
      <c r="I1058" t="s">
        <v>1670</v>
      </c>
      <c r="J1058" t="s">
        <v>1674</v>
      </c>
      <c r="K1058">
        <v>1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f>N1058-K1058</f>
        <v>0</v>
      </c>
      <c r="R1058">
        <f>O1058-L1058</f>
        <v>0</v>
      </c>
      <c r="S1058">
        <f>P1058-M1058</f>
        <v>0</v>
      </c>
      <c r="T1058">
        <v>0</v>
      </c>
      <c r="U1058" s="14">
        <v>0</v>
      </c>
      <c r="V1058" s="14">
        <v>0</v>
      </c>
      <c r="W1058" s="16">
        <v>0</v>
      </c>
      <c r="X1058" s="16">
        <v>0</v>
      </c>
    </row>
    <row r="1059" spans="1:24" x14ac:dyDescent="0.2">
      <c r="A1059" t="s">
        <v>17</v>
      </c>
      <c r="B1059" t="s">
        <v>24</v>
      </c>
      <c r="C1059" t="s">
        <v>49</v>
      </c>
      <c r="D1059" t="s">
        <v>152</v>
      </c>
      <c r="E1059" t="s">
        <v>484</v>
      </c>
      <c r="F1059" t="s">
        <v>1084</v>
      </c>
      <c r="H1059" t="s">
        <v>1669</v>
      </c>
      <c r="I1059" t="s">
        <v>1671</v>
      </c>
      <c r="J1059" t="s">
        <v>1674</v>
      </c>
      <c r="K1059">
        <v>10</v>
      </c>
      <c r="L1059">
        <v>1</v>
      </c>
      <c r="M1059">
        <v>11</v>
      </c>
      <c r="N1059">
        <v>5</v>
      </c>
      <c r="O1059">
        <v>0</v>
      </c>
      <c r="P1059">
        <v>5</v>
      </c>
      <c r="Q1059">
        <f>N1059-K1059</f>
        <v>-5</v>
      </c>
      <c r="R1059">
        <f>O1059-L1059</f>
        <v>-1</v>
      </c>
      <c r="S1059">
        <f>P1059-M1059</f>
        <v>-6</v>
      </c>
      <c r="T1059">
        <v>377</v>
      </c>
      <c r="U1059" s="14">
        <v>2208074.9799999991</v>
      </c>
      <c r="V1059" s="14">
        <v>2535</v>
      </c>
      <c r="W1059" s="16">
        <v>7.1366923390423975E-3</v>
      </c>
      <c r="X1059" s="16">
        <v>4.5909607875806811E-3</v>
      </c>
    </row>
    <row r="1060" spans="1:24" x14ac:dyDescent="0.2">
      <c r="A1060" t="s">
        <v>13</v>
      </c>
      <c r="B1060" t="s">
        <v>22</v>
      </c>
      <c r="C1060" t="s">
        <v>36</v>
      </c>
      <c r="D1060" t="s">
        <v>90</v>
      </c>
      <c r="E1060" t="s">
        <v>311</v>
      </c>
      <c r="F1060" t="s">
        <v>807</v>
      </c>
      <c r="H1060" t="s">
        <v>1669</v>
      </c>
      <c r="I1060" t="s">
        <v>1670</v>
      </c>
      <c r="J1060" t="s">
        <v>1674</v>
      </c>
      <c r="K1060">
        <v>12</v>
      </c>
      <c r="L1060">
        <v>0</v>
      </c>
      <c r="M1060">
        <v>12</v>
      </c>
      <c r="N1060">
        <v>5</v>
      </c>
      <c r="O1060">
        <v>0</v>
      </c>
      <c r="P1060">
        <v>5</v>
      </c>
      <c r="Q1060">
        <f>N1060-K1060</f>
        <v>-7</v>
      </c>
      <c r="R1060">
        <f>O1060-L1060</f>
        <v>0</v>
      </c>
      <c r="S1060">
        <f>P1060-M1060</f>
        <v>-7</v>
      </c>
      <c r="T1060">
        <v>0</v>
      </c>
      <c r="U1060" s="14">
        <v>0</v>
      </c>
      <c r="V1060" s="14">
        <v>0</v>
      </c>
      <c r="W1060" s="16">
        <v>0</v>
      </c>
      <c r="X1060" s="16">
        <v>0</v>
      </c>
    </row>
    <row r="1061" spans="1:24" x14ac:dyDescent="0.2">
      <c r="A1061" t="s">
        <v>13</v>
      </c>
      <c r="B1061" t="s">
        <v>20</v>
      </c>
      <c r="C1061" t="s">
        <v>31</v>
      </c>
      <c r="D1061" t="s">
        <v>82</v>
      </c>
      <c r="E1061" t="s">
        <v>283</v>
      </c>
      <c r="F1061" t="s">
        <v>812</v>
      </c>
      <c r="H1061" t="s">
        <v>1669</v>
      </c>
      <c r="I1061" t="s">
        <v>1671</v>
      </c>
      <c r="J1061" t="s">
        <v>1674</v>
      </c>
      <c r="K1061">
        <v>7</v>
      </c>
      <c r="L1061">
        <v>0</v>
      </c>
      <c r="M1061">
        <v>7</v>
      </c>
      <c r="N1061">
        <v>0</v>
      </c>
      <c r="O1061">
        <v>0</v>
      </c>
      <c r="P1061">
        <v>0</v>
      </c>
      <c r="Q1061">
        <f>N1061-K1061</f>
        <v>-7</v>
      </c>
      <c r="R1061">
        <f>O1061-L1061</f>
        <v>0</v>
      </c>
      <c r="S1061">
        <f>P1061-M1061</f>
        <v>-7</v>
      </c>
      <c r="T1061">
        <v>5</v>
      </c>
      <c r="U1061" s="14">
        <v>660799</v>
      </c>
      <c r="V1061" s="14">
        <v>9</v>
      </c>
      <c r="W1061" s="16">
        <v>2.1357604264629093E-3</v>
      </c>
      <c r="X1061" s="16">
        <v>1.629926906833378E-5</v>
      </c>
    </row>
    <row r="1062" spans="1:24" x14ac:dyDescent="0.2">
      <c r="A1062" t="s">
        <v>12</v>
      </c>
      <c r="B1062" s="35" t="s">
        <v>19</v>
      </c>
      <c r="C1062" t="s">
        <v>34</v>
      </c>
      <c r="D1062" t="s">
        <v>85</v>
      </c>
      <c r="E1062" t="s">
        <v>290</v>
      </c>
      <c r="F1062" t="s">
        <v>290</v>
      </c>
      <c r="H1062" t="s">
        <v>1670</v>
      </c>
      <c r="I1062" t="s">
        <v>1670</v>
      </c>
      <c r="J1062" t="s">
        <v>1674</v>
      </c>
      <c r="K1062">
        <v>2</v>
      </c>
      <c r="L1062">
        <v>0</v>
      </c>
      <c r="M1062">
        <v>2</v>
      </c>
      <c r="N1062">
        <v>2</v>
      </c>
      <c r="O1062">
        <v>0</v>
      </c>
      <c r="P1062">
        <v>2</v>
      </c>
      <c r="Q1062">
        <f>N1062-K1062</f>
        <v>0</v>
      </c>
      <c r="R1062">
        <f>O1062-L1062</f>
        <v>0</v>
      </c>
      <c r="S1062">
        <f>P1062-M1062</f>
        <v>0</v>
      </c>
      <c r="T1062">
        <v>0</v>
      </c>
      <c r="U1062" s="14">
        <v>0</v>
      </c>
      <c r="V1062" s="14">
        <v>0</v>
      </c>
      <c r="W1062" s="16">
        <v>0</v>
      </c>
      <c r="X1062" s="16">
        <v>0</v>
      </c>
    </row>
    <row r="1063" spans="1:24" x14ac:dyDescent="0.2">
      <c r="A1063" t="s">
        <v>15</v>
      </c>
      <c r="B1063" t="s">
        <v>24</v>
      </c>
      <c r="C1063" t="s">
        <v>58</v>
      </c>
      <c r="D1063" t="s">
        <v>148</v>
      </c>
      <c r="E1063" t="s">
        <v>404</v>
      </c>
      <c r="F1063" t="s">
        <v>925</v>
      </c>
      <c r="H1063" t="s">
        <v>1669</v>
      </c>
      <c r="I1063" t="s">
        <v>1670</v>
      </c>
      <c r="J1063" t="s">
        <v>1674</v>
      </c>
      <c r="K1063">
        <v>7</v>
      </c>
      <c r="L1063">
        <v>0</v>
      </c>
      <c r="M1063">
        <v>7</v>
      </c>
      <c r="N1063">
        <v>0</v>
      </c>
      <c r="O1063">
        <v>0</v>
      </c>
      <c r="P1063">
        <v>0</v>
      </c>
      <c r="Q1063">
        <f>N1063-K1063</f>
        <v>-7</v>
      </c>
      <c r="R1063">
        <f>O1063-L1063</f>
        <v>0</v>
      </c>
      <c r="S1063">
        <f>P1063-M1063</f>
        <v>-7</v>
      </c>
      <c r="T1063">
        <v>7</v>
      </c>
      <c r="U1063" s="14">
        <v>29799.53</v>
      </c>
      <c r="V1063" s="14">
        <v>155</v>
      </c>
      <c r="W1063" s="16">
        <v>9.6314699176594171E-5</v>
      </c>
      <c r="X1063" s="16">
        <v>2.8070963395463735E-4</v>
      </c>
    </row>
    <row r="1064" spans="1:24" x14ac:dyDescent="0.2">
      <c r="A1064" t="s">
        <v>17</v>
      </c>
      <c r="B1064" t="s">
        <v>24</v>
      </c>
      <c r="C1064" t="s">
        <v>49</v>
      </c>
      <c r="D1064" t="s">
        <v>177</v>
      </c>
      <c r="E1064" t="s">
        <v>490</v>
      </c>
      <c r="F1064" t="s">
        <v>1094</v>
      </c>
      <c r="H1064" t="s">
        <v>1669</v>
      </c>
      <c r="I1064" t="s">
        <v>1670</v>
      </c>
      <c r="J1064" t="s">
        <v>1674</v>
      </c>
      <c r="K1064">
        <v>7</v>
      </c>
      <c r="L1064">
        <v>0</v>
      </c>
      <c r="M1064">
        <v>7</v>
      </c>
      <c r="N1064">
        <v>0</v>
      </c>
      <c r="O1064">
        <v>0</v>
      </c>
      <c r="P1064">
        <v>0</v>
      </c>
      <c r="Q1064">
        <f>N1064-K1064</f>
        <v>-7</v>
      </c>
      <c r="R1064">
        <f>O1064-L1064</f>
        <v>0</v>
      </c>
      <c r="S1064">
        <f>P1064-M1064</f>
        <v>-7</v>
      </c>
      <c r="T1064">
        <v>3</v>
      </c>
      <c r="U1064" s="14">
        <v>3240</v>
      </c>
      <c r="V1064" s="14">
        <v>6</v>
      </c>
      <c r="W1064" s="16">
        <v>1.0471964669649659E-5</v>
      </c>
      <c r="X1064" s="16">
        <v>1.0866179378889186E-5</v>
      </c>
    </row>
    <row r="1065" spans="1:24" x14ac:dyDescent="0.2">
      <c r="A1065" t="s">
        <v>17</v>
      </c>
      <c r="B1065" t="s">
        <v>23</v>
      </c>
      <c r="C1065" t="s">
        <v>61</v>
      </c>
      <c r="D1065" t="s">
        <v>183</v>
      </c>
      <c r="E1065" t="s">
        <v>504</v>
      </c>
      <c r="F1065" t="s">
        <v>1114</v>
      </c>
      <c r="H1065" t="s">
        <v>1669</v>
      </c>
      <c r="I1065" t="s">
        <v>1671</v>
      </c>
      <c r="J1065" t="s">
        <v>1674</v>
      </c>
      <c r="K1065">
        <v>7</v>
      </c>
      <c r="L1065">
        <v>0</v>
      </c>
      <c r="M1065">
        <v>7</v>
      </c>
      <c r="N1065">
        <v>0</v>
      </c>
      <c r="O1065">
        <v>0</v>
      </c>
      <c r="P1065">
        <v>0</v>
      </c>
      <c r="Q1065">
        <f>N1065-K1065</f>
        <v>-7</v>
      </c>
      <c r="R1065">
        <f>O1065-L1065</f>
        <v>0</v>
      </c>
      <c r="S1065">
        <f>P1065-M1065</f>
        <v>-7</v>
      </c>
      <c r="T1065">
        <v>74</v>
      </c>
      <c r="U1065" s="14">
        <v>153562.83000000002</v>
      </c>
      <c r="V1065" s="14">
        <v>88</v>
      </c>
      <c r="W1065" s="16">
        <v>4.9632855874426449E-4</v>
      </c>
      <c r="X1065" s="16">
        <v>1.5937063089037473E-4</v>
      </c>
    </row>
    <row r="1066" spans="1:24" x14ac:dyDescent="0.2">
      <c r="A1066" t="s">
        <v>12</v>
      </c>
      <c r="B1066" t="s">
        <v>19</v>
      </c>
      <c r="C1066" t="s">
        <v>28</v>
      </c>
      <c r="D1066" t="s">
        <v>76</v>
      </c>
      <c r="E1066" t="s">
        <v>274</v>
      </c>
      <c r="F1066" t="s">
        <v>724</v>
      </c>
      <c r="H1066" t="s">
        <v>1669</v>
      </c>
      <c r="I1066" t="s">
        <v>1671</v>
      </c>
      <c r="J1066" t="s">
        <v>1674</v>
      </c>
      <c r="K1066">
        <v>9</v>
      </c>
      <c r="L1066">
        <v>1</v>
      </c>
      <c r="M1066">
        <v>10</v>
      </c>
      <c r="N1066">
        <v>3</v>
      </c>
      <c r="O1066">
        <v>0</v>
      </c>
      <c r="P1066">
        <v>3</v>
      </c>
      <c r="Q1066">
        <f>N1066-K1066</f>
        <v>-6</v>
      </c>
      <c r="R1066">
        <f>O1066-L1066</f>
        <v>-1</v>
      </c>
      <c r="S1066">
        <f>P1066-M1066</f>
        <v>-7</v>
      </c>
      <c r="T1066">
        <v>50</v>
      </c>
      <c r="U1066" s="14">
        <v>331042.61000000004</v>
      </c>
      <c r="V1066" s="14">
        <v>705</v>
      </c>
      <c r="W1066" s="16">
        <v>1.0699588012557442E-3</v>
      </c>
      <c r="X1066" s="16">
        <v>1.2767760770194794E-3</v>
      </c>
    </row>
    <row r="1067" spans="1:24" x14ac:dyDescent="0.2">
      <c r="A1067" t="s">
        <v>12</v>
      </c>
      <c r="B1067" t="s">
        <v>18</v>
      </c>
      <c r="C1067" t="s">
        <v>26</v>
      </c>
      <c r="D1067" t="s">
        <v>63</v>
      </c>
      <c r="E1067" t="s">
        <v>234</v>
      </c>
      <c r="F1067" t="s">
        <v>234</v>
      </c>
      <c r="H1067" t="s">
        <v>1669</v>
      </c>
      <c r="I1067" t="s">
        <v>1670</v>
      </c>
      <c r="J1067" t="s">
        <v>1674</v>
      </c>
      <c r="K1067">
        <v>12</v>
      </c>
      <c r="L1067">
        <v>0</v>
      </c>
      <c r="M1067">
        <v>12</v>
      </c>
      <c r="N1067">
        <v>4</v>
      </c>
      <c r="O1067">
        <v>0</v>
      </c>
      <c r="P1067">
        <v>4</v>
      </c>
      <c r="Q1067">
        <f>N1067-K1067</f>
        <v>-8</v>
      </c>
      <c r="R1067">
        <f>O1067-L1067</f>
        <v>0</v>
      </c>
      <c r="S1067">
        <f>P1067-M1067</f>
        <v>-8</v>
      </c>
      <c r="T1067">
        <v>0</v>
      </c>
      <c r="U1067" s="14">
        <v>0</v>
      </c>
      <c r="V1067" s="14">
        <v>0</v>
      </c>
      <c r="W1067" s="16">
        <v>0</v>
      </c>
      <c r="X1067" s="16">
        <v>0</v>
      </c>
    </row>
    <row r="1068" spans="1:24" x14ac:dyDescent="0.2">
      <c r="A1068" t="s">
        <v>13</v>
      </c>
      <c r="B1068" t="s">
        <v>20</v>
      </c>
      <c r="C1068" t="s">
        <v>33</v>
      </c>
      <c r="D1068" t="s">
        <v>87</v>
      </c>
      <c r="E1068" t="s">
        <v>298</v>
      </c>
      <c r="F1068" t="s">
        <v>773</v>
      </c>
      <c r="H1068" t="s">
        <v>1669</v>
      </c>
      <c r="I1068" t="s">
        <v>1670</v>
      </c>
      <c r="J1068" t="s">
        <v>1674</v>
      </c>
      <c r="K1068">
        <v>8</v>
      </c>
      <c r="L1068">
        <v>0</v>
      </c>
      <c r="M1068">
        <v>8</v>
      </c>
      <c r="N1068">
        <v>0</v>
      </c>
      <c r="O1068">
        <v>0</v>
      </c>
      <c r="P1068">
        <v>0</v>
      </c>
      <c r="Q1068">
        <f>N1068-K1068</f>
        <v>-8</v>
      </c>
      <c r="R1068">
        <f>O1068-L1068</f>
        <v>0</v>
      </c>
      <c r="S1068">
        <f>P1068-M1068</f>
        <v>-8</v>
      </c>
      <c r="T1068">
        <v>0</v>
      </c>
      <c r="U1068" s="14">
        <v>0</v>
      </c>
      <c r="V1068" s="14">
        <v>0</v>
      </c>
      <c r="W1068" s="16">
        <v>0</v>
      </c>
      <c r="X1068" s="16">
        <v>0</v>
      </c>
    </row>
    <row r="1069" spans="1:24" x14ac:dyDescent="0.2">
      <c r="A1069" t="s">
        <v>17</v>
      </c>
      <c r="B1069" t="s">
        <v>24</v>
      </c>
      <c r="C1069" t="s">
        <v>49</v>
      </c>
      <c r="D1069" t="s">
        <v>152</v>
      </c>
      <c r="E1069" t="s">
        <v>482</v>
      </c>
      <c r="F1069" t="s">
        <v>1077</v>
      </c>
      <c r="H1069" t="s">
        <v>1669</v>
      </c>
      <c r="I1069" t="s">
        <v>1671</v>
      </c>
      <c r="J1069" t="s">
        <v>1674</v>
      </c>
      <c r="K1069">
        <v>11</v>
      </c>
      <c r="L1069">
        <v>0</v>
      </c>
      <c r="M1069">
        <v>11</v>
      </c>
      <c r="N1069">
        <v>3</v>
      </c>
      <c r="O1069">
        <v>0</v>
      </c>
      <c r="P1069">
        <v>3</v>
      </c>
      <c r="Q1069">
        <f>N1069-K1069</f>
        <v>-8</v>
      </c>
      <c r="R1069">
        <f>O1069-L1069</f>
        <v>0</v>
      </c>
      <c r="S1069">
        <f>P1069-M1069</f>
        <v>-8</v>
      </c>
      <c r="T1069">
        <v>6</v>
      </c>
      <c r="U1069" s="14">
        <v>43484.350000000006</v>
      </c>
      <c r="V1069" s="14">
        <v>41</v>
      </c>
      <c r="W1069" s="16">
        <v>1.4054523977860502E-4</v>
      </c>
      <c r="X1069" s="16">
        <v>7.4252225755742774E-5</v>
      </c>
    </row>
    <row r="1070" spans="1:24" x14ac:dyDescent="0.2">
      <c r="A1070" t="s">
        <v>17</v>
      </c>
      <c r="B1070" t="s">
        <v>24</v>
      </c>
      <c r="C1070" t="s">
        <v>49</v>
      </c>
      <c r="D1070" t="s">
        <v>178</v>
      </c>
      <c r="E1070" t="s">
        <v>492</v>
      </c>
      <c r="F1070" t="s">
        <v>1095</v>
      </c>
      <c r="H1070" t="s">
        <v>1669</v>
      </c>
      <c r="I1070" t="s">
        <v>1671</v>
      </c>
      <c r="J1070" t="s">
        <v>1674</v>
      </c>
      <c r="K1070">
        <v>8</v>
      </c>
      <c r="L1070">
        <v>0</v>
      </c>
      <c r="M1070">
        <v>8</v>
      </c>
      <c r="N1070">
        <v>0</v>
      </c>
      <c r="O1070">
        <v>0</v>
      </c>
      <c r="P1070">
        <v>0</v>
      </c>
      <c r="Q1070">
        <f>N1070-K1070</f>
        <v>-8</v>
      </c>
      <c r="R1070">
        <f>O1070-L1070</f>
        <v>0</v>
      </c>
      <c r="S1070">
        <f>P1070-M1070</f>
        <v>-8</v>
      </c>
      <c r="T1070">
        <v>196</v>
      </c>
      <c r="U1070" s="14">
        <v>182925.28999999992</v>
      </c>
      <c r="V1070" s="14">
        <v>900</v>
      </c>
      <c r="W1070" s="16">
        <v>5.912306092794498E-4</v>
      </c>
      <c r="X1070" s="16">
        <v>1.629926906833378E-3</v>
      </c>
    </row>
    <row r="1071" spans="1:24" x14ac:dyDescent="0.2">
      <c r="A1071" t="s">
        <v>17</v>
      </c>
      <c r="B1071" t="s">
        <v>23</v>
      </c>
      <c r="C1071" t="s">
        <v>61</v>
      </c>
      <c r="D1071" t="s">
        <v>182</v>
      </c>
      <c r="E1071" t="s">
        <v>502</v>
      </c>
      <c r="F1071" t="s">
        <v>1112</v>
      </c>
      <c r="H1071" t="s">
        <v>1669</v>
      </c>
      <c r="I1071" t="s">
        <v>1671</v>
      </c>
      <c r="J1071" t="s">
        <v>1674</v>
      </c>
      <c r="K1071">
        <v>8</v>
      </c>
      <c r="L1071">
        <v>0</v>
      </c>
      <c r="M1071">
        <v>8</v>
      </c>
      <c r="N1071">
        <v>0</v>
      </c>
      <c r="O1071">
        <v>0</v>
      </c>
      <c r="P1071">
        <v>0</v>
      </c>
      <c r="Q1071">
        <f>N1071-K1071</f>
        <v>-8</v>
      </c>
      <c r="R1071">
        <f>O1071-L1071</f>
        <v>0</v>
      </c>
      <c r="S1071">
        <f>P1071-M1071</f>
        <v>-8</v>
      </c>
      <c r="T1071">
        <v>57</v>
      </c>
      <c r="U1071" s="14">
        <v>614152.3899999999</v>
      </c>
      <c r="V1071" s="14">
        <v>129</v>
      </c>
      <c r="W1071" s="16">
        <v>1.9849944845249682E-3</v>
      </c>
      <c r="X1071" s="16">
        <v>2.3362285664611752E-4</v>
      </c>
    </row>
    <row r="1072" spans="1:24" x14ac:dyDescent="0.2">
      <c r="A1072" t="s">
        <v>17</v>
      </c>
      <c r="B1072" t="s">
        <v>24</v>
      </c>
      <c r="C1072" t="s">
        <v>49</v>
      </c>
      <c r="D1072" t="s">
        <v>152</v>
      </c>
      <c r="E1072" t="s">
        <v>482</v>
      </c>
      <c r="F1072" t="s">
        <v>1079</v>
      </c>
      <c r="H1072" t="s">
        <v>1669</v>
      </c>
      <c r="I1072" t="s">
        <v>1671</v>
      </c>
      <c r="J1072" t="s">
        <v>1674</v>
      </c>
      <c r="K1072">
        <v>11</v>
      </c>
      <c r="L1072">
        <v>1</v>
      </c>
      <c r="M1072">
        <v>12</v>
      </c>
      <c r="N1072">
        <v>4</v>
      </c>
      <c r="O1072">
        <v>0</v>
      </c>
      <c r="P1072">
        <v>4</v>
      </c>
      <c r="Q1072">
        <f>N1072-K1072</f>
        <v>-7</v>
      </c>
      <c r="R1072">
        <f>O1072-L1072</f>
        <v>-1</v>
      </c>
      <c r="S1072">
        <f>P1072-M1072</f>
        <v>-8</v>
      </c>
      <c r="T1072">
        <v>91</v>
      </c>
      <c r="U1072" s="14">
        <v>259242.93999999992</v>
      </c>
      <c r="V1072" s="14">
        <v>503</v>
      </c>
      <c r="W1072" s="16">
        <v>8.3789595942472398E-4</v>
      </c>
      <c r="X1072" s="16">
        <v>9.1094803793021015E-4</v>
      </c>
    </row>
    <row r="1073" spans="1:24" x14ac:dyDescent="0.2">
      <c r="A1073" t="s">
        <v>12</v>
      </c>
      <c r="B1073" t="s">
        <v>18</v>
      </c>
      <c r="C1073" t="s">
        <v>26</v>
      </c>
      <c r="D1073" t="s">
        <v>63</v>
      </c>
      <c r="E1073" t="s">
        <v>237</v>
      </c>
      <c r="F1073" t="s">
        <v>237</v>
      </c>
      <c r="H1073" t="s">
        <v>1669</v>
      </c>
      <c r="I1073" t="s">
        <v>1670</v>
      </c>
      <c r="J1073" t="s">
        <v>1674</v>
      </c>
      <c r="K1073">
        <v>14</v>
      </c>
      <c r="L1073">
        <v>0</v>
      </c>
      <c r="M1073">
        <v>14</v>
      </c>
      <c r="N1073">
        <v>5</v>
      </c>
      <c r="O1073">
        <v>0</v>
      </c>
      <c r="P1073">
        <v>5</v>
      </c>
      <c r="Q1073">
        <f>N1073-K1073</f>
        <v>-9</v>
      </c>
      <c r="R1073">
        <f>O1073-L1073</f>
        <v>0</v>
      </c>
      <c r="S1073">
        <f>P1073-M1073</f>
        <v>-9</v>
      </c>
      <c r="T1073">
        <v>0</v>
      </c>
      <c r="U1073" s="14">
        <v>0</v>
      </c>
      <c r="V1073" s="14">
        <v>0</v>
      </c>
      <c r="W1073" s="16">
        <v>0</v>
      </c>
      <c r="X1073" s="16">
        <v>0</v>
      </c>
    </row>
    <row r="1074" spans="1:24" x14ac:dyDescent="0.2">
      <c r="A1074" t="s">
        <v>15</v>
      </c>
      <c r="B1074" t="s">
        <v>24</v>
      </c>
      <c r="C1074" t="s">
        <v>58</v>
      </c>
      <c r="D1074" t="s">
        <v>148</v>
      </c>
      <c r="E1074" t="s">
        <v>407</v>
      </c>
      <c r="F1074" t="s">
        <v>946</v>
      </c>
      <c r="H1074" t="s">
        <v>1669</v>
      </c>
      <c r="I1074" t="s">
        <v>1670</v>
      </c>
      <c r="J1074" t="s">
        <v>1674</v>
      </c>
      <c r="K1074">
        <v>9</v>
      </c>
      <c r="L1074">
        <v>0</v>
      </c>
      <c r="M1074">
        <v>9</v>
      </c>
      <c r="N1074">
        <v>0</v>
      </c>
      <c r="O1074">
        <v>0</v>
      </c>
      <c r="P1074">
        <v>0</v>
      </c>
      <c r="Q1074">
        <f>N1074-K1074</f>
        <v>-9</v>
      </c>
      <c r="R1074">
        <f>O1074-L1074</f>
        <v>0</v>
      </c>
      <c r="S1074">
        <f>P1074-M1074</f>
        <v>-9</v>
      </c>
      <c r="T1074">
        <v>3</v>
      </c>
      <c r="U1074" s="14">
        <v>2799.7</v>
      </c>
      <c r="V1074" s="14">
        <v>19</v>
      </c>
      <c r="W1074" s="16">
        <v>9.048876384450047E-6</v>
      </c>
      <c r="X1074" s="16">
        <v>3.4409568033149091E-5</v>
      </c>
    </row>
    <row r="1075" spans="1:24" x14ac:dyDescent="0.2">
      <c r="A1075" t="s">
        <v>13</v>
      </c>
      <c r="B1075" t="s">
        <v>19</v>
      </c>
      <c r="C1075" t="s">
        <v>34</v>
      </c>
      <c r="D1075" t="s">
        <v>85</v>
      </c>
      <c r="E1075" t="s">
        <v>292</v>
      </c>
      <c r="F1075" t="s">
        <v>753</v>
      </c>
      <c r="H1075" t="s">
        <v>1670</v>
      </c>
      <c r="I1075" t="s">
        <v>1670</v>
      </c>
      <c r="J1075" t="s">
        <v>1674</v>
      </c>
      <c r="K1075">
        <v>22</v>
      </c>
      <c r="L1075">
        <v>0</v>
      </c>
      <c r="M1075">
        <v>22</v>
      </c>
      <c r="N1075">
        <v>20</v>
      </c>
      <c r="O1075">
        <v>0</v>
      </c>
      <c r="P1075">
        <v>20</v>
      </c>
      <c r="Q1075">
        <f>N1075-K1075</f>
        <v>-2</v>
      </c>
      <c r="R1075">
        <f>O1075-L1075</f>
        <v>0</v>
      </c>
      <c r="S1075">
        <f>P1075-M1075</f>
        <v>-2</v>
      </c>
      <c r="T1075">
        <v>0</v>
      </c>
      <c r="U1075" s="14">
        <v>0</v>
      </c>
      <c r="V1075" s="14">
        <v>0</v>
      </c>
      <c r="W1075" s="16">
        <v>0</v>
      </c>
      <c r="X1075" s="16">
        <v>0</v>
      </c>
    </row>
    <row r="1076" spans="1:24" x14ac:dyDescent="0.2">
      <c r="A1076" t="s">
        <v>12</v>
      </c>
      <c r="B1076" t="s">
        <v>19</v>
      </c>
      <c r="C1076" t="s">
        <v>28</v>
      </c>
      <c r="D1076" t="s">
        <v>71</v>
      </c>
      <c r="E1076" t="s">
        <v>257</v>
      </c>
      <c r="F1076" t="s">
        <v>705</v>
      </c>
      <c r="H1076" t="s">
        <v>1669</v>
      </c>
      <c r="I1076" t="s">
        <v>1671</v>
      </c>
      <c r="J1076" t="s">
        <v>1674</v>
      </c>
      <c r="K1076">
        <v>37</v>
      </c>
      <c r="L1076">
        <v>1</v>
      </c>
      <c r="M1076">
        <v>38</v>
      </c>
      <c r="N1076">
        <v>24</v>
      </c>
      <c r="O1076">
        <v>4</v>
      </c>
      <c r="P1076">
        <v>28</v>
      </c>
      <c r="Q1076">
        <f>N1076-K1076</f>
        <v>-13</v>
      </c>
      <c r="R1076">
        <f>O1076-L1076</f>
        <v>3</v>
      </c>
      <c r="S1076">
        <f>P1076-M1076</f>
        <v>-10</v>
      </c>
      <c r="T1076">
        <v>724</v>
      </c>
      <c r="U1076" s="14">
        <v>4809579.5699999956</v>
      </c>
      <c r="V1076" s="14">
        <v>8207</v>
      </c>
      <c r="W1076" s="16">
        <v>1.5544983744724924E-2</v>
      </c>
      <c r="X1076" s="16">
        <v>1.4863122360423926E-2</v>
      </c>
    </row>
    <row r="1077" spans="1:24" x14ac:dyDescent="0.2">
      <c r="A1077" t="s">
        <v>12</v>
      </c>
      <c r="B1077" t="s">
        <v>18</v>
      </c>
      <c r="C1077" t="s">
        <v>26</v>
      </c>
      <c r="D1077" t="s">
        <v>63</v>
      </c>
      <c r="E1077" t="s">
        <v>231</v>
      </c>
      <c r="F1077" t="s">
        <v>231</v>
      </c>
      <c r="H1077" t="s">
        <v>1669</v>
      </c>
      <c r="I1077" t="s">
        <v>1670</v>
      </c>
      <c r="J1077" t="s">
        <v>1674</v>
      </c>
      <c r="K1077">
        <v>16</v>
      </c>
      <c r="L1077">
        <v>0</v>
      </c>
      <c r="M1077">
        <v>16</v>
      </c>
      <c r="N1077">
        <v>6</v>
      </c>
      <c r="O1077">
        <v>0</v>
      </c>
      <c r="P1077">
        <v>6</v>
      </c>
      <c r="Q1077">
        <f>N1077-K1077</f>
        <v>-10</v>
      </c>
      <c r="R1077">
        <f>O1077-L1077</f>
        <v>0</v>
      </c>
      <c r="S1077">
        <f>P1077-M1077</f>
        <v>-10</v>
      </c>
      <c r="T1077">
        <v>0</v>
      </c>
      <c r="U1077" s="14">
        <v>0</v>
      </c>
      <c r="V1077" s="14">
        <v>0</v>
      </c>
      <c r="W1077" s="16">
        <v>0</v>
      </c>
      <c r="X1077" s="16">
        <v>0</v>
      </c>
    </row>
    <row r="1078" spans="1:24" x14ac:dyDescent="0.2">
      <c r="A1078" t="s">
        <v>14</v>
      </c>
      <c r="B1078" s="35" t="s">
        <v>19</v>
      </c>
      <c r="C1078" t="s">
        <v>42</v>
      </c>
      <c r="D1078" t="s">
        <v>111</v>
      </c>
      <c r="E1078" t="s">
        <v>354</v>
      </c>
      <c r="F1078" t="s">
        <v>862</v>
      </c>
      <c r="H1078" t="s">
        <v>1670</v>
      </c>
      <c r="I1078" t="s">
        <v>1670</v>
      </c>
      <c r="J1078" t="s">
        <v>1674</v>
      </c>
      <c r="K1078">
        <v>2</v>
      </c>
      <c r="L1078">
        <v>0</v>
      </c>
      <c r="M1078">
        <v>2</v>
      </c>
      <c r="N1078">
        <v>2</v>
      </c>
      <c r="O1078">
        <v>0</v>
      </c>
      <c r="P1078">
        <v>2</v>
      </c>
      <c r="Q1078">
        <f>N1078-K1078</f>
        <v>0</v>
      </c>
      <c r="R1078">
        <f>O1078-L1078</f>
        <v>0</v>
      </c>
      <c r="S1078">
        <f>P1078-M1078</f>
        <v>0</v>
      </c>
      <c r="T1078">
        <v>0</v>
      </c>
      <c r="U1078" s="14">
        <v>0</v>
      </c>
      <c r="V1078" s="14">
        <v>0</v>
      </c>
      <c r="W1078" s="16">
        <v>0</v>
      </c>
      <c r="X1078" s="16">
        <v>0</v>
      </c>
    </row>
    <row r="1079" spans="1:24" x14ac:dyDescent="0.2">
      <c r="A1079" t="s">
        <v>14</v>
      </c>
      <c r="B1079" s="35" t="s">
        <v>19</v>
      </c>
      <c r="C1079" t="s">
        <v>42</v>
      </c>
      <c r="D1079" t="s">
        <v>113</v>
      </c>
      <c r="E1079" t="s">
        <v>356</v>
      </c>
      <c r="F1079" t="s">
        <v>864</v>
      </c>
      <c r="H1079" t="s">
        <v>1670</v>
      </c>
      <c r="I1079" t="s">
        <v>1670</v>
      </c>
      <c r="J1079" t="s">
        <v>1673</v>
      </c>
      <c r="K1079">
        <v>2</v>
      </c>
      <c r="L1079">
        <v>0</v>
      </c>
      <c r="M1079">
        <v>2</v>
      </c>
      <c r="N1079">
        <v>2</v>
      </c>
      <c r="O1079">
        <v>0</v>
      </c>
      <c r="P1079">
        <v>2</v>
      </c>
      <c r="Q1079">
        <f>N1079-K1079</f>
        <v>0</v>
      </c>
      <c r="R1079">
        <f>O1079-L1079</f>
        <v>0</v>
      </c>
      <c r="S1079">
        <f>P1079-M1079</f>
        <v>0</v>
      </c>
      <c r="T1079">
        <v>0</v>
      </c>
      <c r="U1079" s="14">
        <v>0</v>
      </c>
      <c r="V1079" s="14">
        <v>0</v>
      </c>
      <c r="W1079" s="16">
        <v>0</v>
      </c>
      <c r="X1079" s="16">
        <v>0</v>
      </c>
    </row>
    <row r="1080" spans="1:24" x14ac:dyDescent="0.2">
      <c r="A1080" t="s">
        <v>14</v>
      </c>
      <c r="B1080" s="35" t="s">
        <v>19</v>
      </c>
      <c r="C1080" t="s">
        <v>42</v>
      </c>
      <c r="D1080" t="s">
        <v>114</v>
      </c>
      <c r="E1080" t="s">
        <v>357</v>
      </c>
      <c r="F1080" t="s">
        <v>357</v>
      </c>
      <c r="H1080" t="s">
        <v>1670</v>
      </c>
      <c r="I1080" t="s">
        <v>1670</v>
      </c>
      <c r="J1080" t="s">
        <v>1674</v>
      </c>
      <c r="K1080">
        <v>2</v>
      </c>
      <c r="L1080">
        <v>0</v>
      </c>
      <c r="M1080">
        <v>2</v>
      </c>
      <c r="N1080">
        <v>2</v>
      </c>
      <c r="O1080">
        <v>0</v>
      </c>
      <c r="P1080">
        <v>2</v>
      </c>
      <c r="Q1080">
        <f>N1080-K1080</f>
        <v>0</v>
      </c>
      <c r="R1080">
        <f>O1080-L1080</f>
        <v>0</v>
      </c>
      <c r="S1080">
        <f>P1080-M1080</f>
        <v>0</v>
      </c>
      <c r="T1080">
        <v>0</v>
      </c>
      <c r="U1080" s="14">
        <v>0</v>
      </c>
      <c r="V1080" s="14">
        <v>0</v>
      </c>
      <c r="W1080" s="16">
        <v>0</v>
      </c>
      <c r="X1080" s="16">
        <v>0</v>
      </c>
    </row>
    <row r="1081" spans="1:24" x14ac:dyDescent="0.2">
      <c r="A1081" t="s">
        <v>14</v>
      </c>
      <c r="B1081" s="35" t="s">
        <v>19</v>
      </c>
      <c r="C1081" t="s">
        <v>44</v>
      </c>
      <c r="D1081" t="s">
        <v>118</v>
      </c>
      <c r="E1081" t="s">
        <v>361</v>
      </c>
      <c r="F1081" t="s">
        <v>871</v>
      </c>
      <c r="H1081" t="s">
        <v>1670</v>
      </c>
      <c r="I1081" t="s">
        <v>1670</v>
      </c>
      <c r="J1081" t="s">
        <v>1673</v>
      </c>
      <c r="K1081">
        <v>2</v>
      </c>
      <c r="L1081">
        <v>0</v>
      </c>
      <c r="M1081">
        <v>2</v>
      </c>
      <c r="N1081">
        <v>2</v>
      </c>
      <c r="O1081">
        <v>0</v>
      </c>
      <c r="P1081">
        <v>2</v>
      </c>
      <c r="Q1081">
        <f>N1081-K1081</f>
        <v>0</v>
      </c>
      <c r="R1081">
        <f>O1081-L1081</f>
        <v>0</v>
      </c>
      <c r="S1081">
        <f>P1081-M1081</f>
        <v>0</v>
      </c>
      <c r="T1081">
        <v>0</v>
      </c>
      <c r="U1081" s="14">
        <v>0</v>
      </c>
      <c r="V1081" s="14">
        <v>0</v>
      </c>
      <c r="W1081" s="16">
        <v>0</v>
      </c>
      <c r="X1081" s="16">
        <v>0</v>
      </c>
    </row>
    <row r="1082" spans="1:24" x14ac:dyDescent="0.2">
      <c r="A1082" t="s">
        <v>14</v>
      </c>
      <c r="B1082" s="35" t="s">
        <v>19</v>
      </c>
      <c r="C1082" t="s">
        <v>47</v>
      </c>
      <c r="D1082" t="s">
        <v>126</v>
      </c>
      <c r="E1082" t="s">
        <v>368</v>
      </c>
      <c r="F1082" t="s">
        <v>881</v>
      </c>
      <c r="H1082" t="s">
        <v>1670</v>
      </c>
      <c r="I1082" t="s">
        <v>1670</v>
      </c>
      <c r="J1082" t="s">
        <v>1674</v>
      </c>
      <c r="K1082">
        <v>2</v>
      </c>
      <c r="L1082">
        <v>0</v>
      </c>
      <c r="M1082">
        <v>2</v>
      </c>
      <c r="N1082">
        <v>2</v>
      </c>
      <c r="O1082">
        <v>0</v>
      </c>
      <c r="P1082">
        <v>2</v>
      </c>
      <c r="Q1082">
        <f>N1082-K1082</f>
        <v>0</v>
      </c>
      <c r="R1082">
        <f>O1082-L1082</f>
        <v>0</v>
      </c>
      <c r="S1082">
        <f>P1082-M1082</f>
        <v>0</v>
      </c>
      <c r="T1082">
        <v>0</v>
      </c>
      <c r="U1082" s="14">
        <v>0</v>
      </c>
      <c r="V1082" s="14">
        <v>0</v>
      </c>
      <c r="W1082" s="16">
        <v>0</v>
      </c>
      <c r="X1082" s="16">
        <v>0</v>
      </c>
    </row>
    <row r="1083" spans="1:24" x14ac:dyDescent="0.2">
      <c r="A1083" t="s">
        <v>17</v>
      </c>
      <c r="B1083" t="s">
        <v>24</v>
      </c>
      <c r="C1083" t="s">
        <v>49</v>
      </c>
      <c r="D1083" t="s">
        <v>152</v>
      </c>
      <c r="E1083" t="s">
        <v>482</v>
      </c>
      <c r="F1083" t="s">
        <v>1074</v>
      </c>
      <c r="H1083" t="s">
        <v>1669</v>
      </c>
      <c r="I1083" t="s">
        <v>1671</v>
      </c>
      <c r="J1083" t="s">
        <v>1674</v>
      </c>
      <c r="K1083">
        <v>21</v>
      </c>
      <c r="L1083">
        <v>1</v>
      </c>
      <c r="M1083">
        <v>22</v>
      </c>
      <c r="N1083">
        <v>12</v>
      </c>
      <c r="O1083">
        <v>0</v>
      </c>
      <c r="P1083">
        <v>12</v>
      </c>
      <c r="Q1083">
        <f>N1083-K1083</f>
        <v>-9</v>
      </c>
      <c r="R1083">
        <f>O1083-L1083</f>
        <v>-1</v>
      </c>
      <c r="S1083">
        <f>P1083-M1083</f>
        <v>-10</v>
      </c>
      <c r="T1083">
        <v>67</v>
      </c>
      <c r="U1083" s="14">
        <v>733375.98999999987</v>
      </c>
      <c r="V1083" s="14">
        <v>607</v>
      </c>
      <c r="W1083" s="16">
        <v>2.3703356348300435E-3</v>
      </c>
      <c r="X1083" s="16">
        <v>1.0992951471642894E-3</v>
      </c>
    </row>
    <row r="1084" spans="1:24" x14ac:dyDescent="0.2">
      <c r="A1084" t="s">
        <v>17</v>
      </c>
      <c r="B1084" t="s">
        <v>23</v>
      </c>
      <c r="C1084" t="s">
        <v>60</v>
      </c>
      <c r="D1084" t="s">
        <v>173</v>
      </c>
      <c r="E1084" t="s">
        <v>477</v>
      </c>
      <c r="F1084" t="s">
        <v>1062</v>
      </c>
      <c r="H1084" t="s">
        <v>1669</v>
      </c>
      <c r="I1084" t="s">
        <v>1671</v>
      </c>
      <c r="J1084" t="s">
        <v>1674</v>
      </c>
      <c r="K1084">
        <v>19</v>
      </c>
      <c r="L1084">
        <v>1</v>
      </c>
      <c r="M1084">
        <v>20</v>
      </c>
      <c r="N1084">
        <v>6</v>
      </c>
      <c r="O1084">
        <v>3</v>
      </c>
      <c r="P1084">
        <v>9</v>
      </c>
      <c r="Q1084">
        <f>N1084-K1084</f>
        <v>-13</v>
      </c>
      <c r="R1084">
        <f>O1084-L1084</f>
        <v>2</v>
      </c>
      <c r="S1084">
        <f>P1084-M1084</f>
        <v>-11</v>
      </c>
      <c r="T1084">
        <v>55</v>
      </c>
      <c r="U1084" s="14">
        <v>170135.99999999997</v>
      </c>
      <c r="V1084" s="14">
        <v>267</v>
      </c>
      <c r="W1084" s="16">
        <v>5.4989450031960312E-4</v>
      </c>
      <c r="X1084" s="16">
        <v>4.8354498236056879E-4</v>
      </c>
    </row>
    <row r="1085" spans="1:24" x14ac:dyDescent="0.2">
      <c r="A1085" t="s">
        <v>14</v>
      </c>
      <c r="B1085" s="35" t="s">
        <v>19</v>
      </c>
      <c r="C1085" t="s">
        <v>53</v>
      </c>
      <c r="D1085" t="s">
        <v>141</v>
      </c>
      <c r="E1085" t="s">
        <v>393</v>
      </c>
      <c r="F1085" t="s">
        <v>909</v>
      </c>
      <c r="H1085" t="s">
        <v>1670</v>
      </c>
      <c r="I1085" t="s">
        <v>1670</v>
      </c>
      <c r="J1085" t="s">
        <v>1674</v>
      </c>
      <c r="K1085">
        <v>2</v>
      </c>
      <c r="L1085">
        <v>0</v>
      </c>
      <c r="M1085">
        <v>2</v>
      </c>
      <c r="N1085">
        <v>2</v>
      </c>
      <c r="O1085">
        <v>0</v>
      </c>
      <c r="P1085">
        <v>2</v>
      </c>
      <c r="Q1085">
        <f>N1085-K1085</f>
        <v>0</v>
      </c>
      <c r="R1085">
        <f>O1085-L1085</f>
        <v>0</v>
      </c>
      <c r="S1085">
        <f>P1085-M1085</f>
        <v>0</v>
      </c>
      <c r="T1085">
        <v>0</v>
      </c>
      <c r="U1085" s="14">
        <v>0</v>
      </c>
      <c r="V1085" s="14">
        <v>0</v>
      </c>
      <c r="W1085" s="16">
        <v>0</v>
      </c>
      <c r="X1085" s="16">
        <v>0</v>
      </c>
    </row>
    <row r="1086" spans="1:24" x14ac:dyDescent="0.2">
      <c r="A1086" t="s">
        <v>17</v>
      </c>
      <c r="B1086" t="s">
        <v>23</v>
      </c>
      <c r="C1086" t="s">
        <v>60</v>
      </c>
      <c r="D1086" t="s">
        <v>174</v>
      </c>
      <c r="E1086" t="s">
        <v>479</v>
      </c>
      <c r="F1086" t="s">
        <v>1065</v>
      </c>
      <c r="H1086" t="s">
        <v>1669</v>
      </c>
      <c r="I1086" t="s">
        <v>1671</v>
      </c>
      <c r="J1086" t="s">
        <v>1674</v>
      </c>
      <c r="K1086">
        <v>11</v>
      </c>
      <c r="L1086">
        <v>0</v>
      </c>
      <c r="M1086">
        <v>11</v>
      </c>
      <c r="N1086">
        <v>0</v>
      </c>
      <c r="O1086">
        <v>0</v>
      </c>
      <c r="P1086">
        <v>0</v>
      </c>
      <c r="Q1086">
        <f>N1086-K1086</f>
        <v>-11</v>
      </c>
      <c r="R1086">
        <f>O1086-L1086</f>
        <v>0</v>
      </c>
      <c r="S1086">
        <f>P1086-M1086</f>
        <v>-11</v>
      </c>
      <c r="T1086">
        <v>0</v>
      </c>
      <c r="U1086" s="14">
        <v>0</v>
      </c>
      <c r="V1086" s="14">
        <v>0</v>
      </c>
      <c r="W1086" s="16">
        <v>0</v>
      </c>
      <c r="X1086" s="16">
        <v>0</v>
      </c>
    </row>
    <row r="1087" spans="1:24" x14ac:dyDescent="0.2">
      <c r="A1087" t="s">
        <v>17</v>
      </c>
      <c r="B1087" t="s">
        <v>23</v>
      </c>
      <c r="C1087" t="s">
        <v>60</v>
      </c>
      <c r="D1087" t="s">
        <v>175</v>
      </c>
      <c r="E1087" t="s">
        <v>481</v>
      </c>
      <c r="F1087" t="s">
        <v>1069</v>
      </c>
      <c r="H1087" t="s">
        <v>1669</v>
      </c>
      <c r="I1087" t="s">
        <v>1671</v>
      </c>
      <c r="J1087" t="s">
        <v>1674</v>
      </c>
      <c r="K1087">
        <v>10</v>
      </c>
      <c r="L1087">
        <v>1</v>
      </c>
      <c r="M1087">
        <v>11</v>
      </c>
      <c r="N1087">
        <v>0</v>
      </c>
      <c r="O1087">
        <v>0</v>
      </c>
      <c r="P1087">
        <v>0</v>
      </c>
      <c r="Q1087">
        <f>N1087-K1087</f>
        <v>-10</v>
      </c>
      <c r="R1087">
        <f>O1087-L1087</f>
        <v>-1</v>
      </c>
      <c r="S1087">
        <f>P1087-M1087</f>
        <v>-11</v>
      </c>
      <c r="T1087">
        <v>607</v>
      </c>
      <c r="U1087" s="14">
        <v>862762.44999999949</v>
      </c>
      <c r="V1087" s="14">
        <v>829</v>
      </c>
      <c r="W1087" s="16">
        <v>2.78852404157419E-3</v>
      </c>
      <c r="X1087" s="16">
        <v>1.5013437841831893E-3</v>
      </c>
    </row>
    <row r="1088" spans="1:24" x14ac:dyDescent="0.2">
      <c r="A1088" t="s">
        <v>17</v>
      </c>
      <c r="B1088" t="s">
        <v>24</v>
      </c>
      <c r="C1088" t="s">
        <v>49</v>
      </c>
      <c r="D1088" t="s">
        <v>152</v>
      </c>
      <c r="E1088" t="s">
        <v>483</v>
      </c>
      <c r="F1088" t="s">
        <v>1080</v>
      </c>
      <c r="H1088" t="s">
        <v>1669</v>
      </c>
      <c r="I1088" t="s">
        <v>1671</v>
      </c>
      <c r="J1088" t="s">
        <v>1674</v>
      </c>
      <c r="K1088">
        <v>15</v>
      </c>
      <c r="L1088">
        <v>1</v>
      </c>
      <c r="M1088">
        <v>16</v>
      </c>
      <c r="N1088">
        <v>5</v>
      </c>
      <c r="O1088">
        <v>0</v>
      </c>
      <c r="P1088">
        <v>5</v>
      </c>
      <c r="Q1088">
        <f>N1088-K1088</f>
        <v>-10</v>
      </c>
      <c r="R1088">
        <f>O1088-L1088</f>
        <v>-1</v>
      </c>
      <c r="S1088">
        <f>P1088-M1088</f>
        <v>-11</v>
      </c>
      <c r="T1088">
        <v>158</v>
      </c>
      <c r="U1088" s="14">
        <v>673136.66000000015</v>
      </c>
      <c r="V1088" s="14">
        <v>581</v>
      </c>
      <c r="W1088" s="16">
        <v>2.1756368275820917E-3</v>
      </c>
      <c r="X1088" s="16">
        <v>1.0522083698557695E-3</v>
      </c>
    </row>
    <row r="1089" spans="1:24" x14ac:dyDescent="0.2">
      <c r="A1089" t="s">
        <v>17</v>
      </c>
      <c r="B1089" t="s">
        <v>24</v>
      </c>
      <c r="C1089" t="s">
        <v>49</v>
      </c>
      <c r="D1089" t="s">
        <v>152</v>
      </c>
      <c r="E1089" t="s">
        <v>482</v>
      </c>
      <c r="F1089" t="s">
        <v>1076</v>
      </c>
      <c r="H1089" t="s">
        <v>1669</v>
      </c>
      <c r="I1089" t="s">
        <v>1671</v>
      </c>
      <c r="J1089" t="s">
        <v>1674</v>
      </c>
      <c r="K1089">
        <v>20</v>
      </c>
      <c r="L1089">
        <v>3</v>
      </c>
      <c r="M1089">
        <v>23</v>
      </c>
      <c r="N1089">
        <v>12</v>
      </c>
      <c r="O1089">
        <v>0</v>
      </c>
      <c r="P1089">
        <v>12</v>
      </c>
      <c r="Q1089">
        <f>N1089-K1089</f>
        <v>-8</v>
      </c>
      <c r="R1089">
        <f>O1089-L1089</f>
        <v>-3</v>
      </c>
      <c r="S1089">
        <f>P1089-M1089</f>
        <v>-11</v>
      </c>
      <c r="T1089">
        <v>201</v>
      </c>
      <c r="U1089" s="14">
        <v>1009911.1999999998</v>
      </c>
      <c r="V1089" s="14">
        <v>1257</v>
      </c>
      <c r="W1089" s="16">
        <v>3.2641217302109534E-3</v>
      </c>
      <c r="X1089" s="16">
        <v>2.2764645798772848E-3</v>
      </c>
    </row>
    <row r="1090" spans="1:24" x14ac:dyDescent="0.2">
      <c r="A1090" t="s">
        <v>15</v>
      </c>
      <c r="B1090" t="s">
        <v>24</v>
      </c>
      <c r="C1090" t="s">
        <v>58</v>
      </c>
      <c r="D1090" t="s">
        <v>150</v>
      </c>
      <c r="E1090" t="s">
        <v>426</v>
      </c>
      <c r="F1090" t="s">
        <v>981</v>
      </c>
      <c r="H1090" t="s">
        <v>1669</v>
      </c>
      <c r="I1090" t="s">
        <v>1670</v>
      </c>
      <c r="J1090" t="s">
        <v>1674</v>
      </c>
      <c r="K1090">
        <v>9</v>
      </c>
      <c r="L1090">
        <v>6</v>
      </c>
      <c r="M1090">
        <v>15</v>
      </c>
      <c r="N1090">
        <v>4</v>
      </c>
      <c r="O1090">
        <v>0</v>
      </c>
      <c r="P1090">
        <v>4</v>
      </c>
      <c r="Q1090">
        <f>N1090-K1090</f>
        <v>-5</v>
      </c>
      <c r="R1090">
        <f>O1090-L1090</f>
        <v>-6</v>
      </c>
      <c r="S1090">
        <f>P1090-M1090</f>
        <v>-11</v>
      </c>
      <c r="T1090">
        <v>22</v>
      </c>
      <c r="U1090" s="14">
        <v>38481.279999999999</v>
      </c>
      <c r="V1090" s="14">
        <v>225</v>
      </c>
      <c r="W1090" s="16">
        <v>1.2437487796385679E-4</v>
      </c>
      <c r="X1090" s="16">
        <v>4.074817267083445E-4</v>
      </c>
    </row>
    <row r="1091" spans="1:24" x14ac:dyDescent="0.2">
      <c r="A1091" t="s">
        <v>14</v>
      </c>
      <c r="B1091" s="35" t="s">
        <v>19</v>
      </c>
      <c r="C1091" t="s">
        <v>56</v>
      </c>
      <c r="D1091" t="s">
        <v>145</v>
      </c>
      <c r="E1091" t="s">
        <v>399</v>
      </c>
      <c r="F1091" t="s">
        <v>920</v>
      </c>
      <c r="H1091" t="s">
        <v>1670</v>
      </c>
      <c r="I1091" t="s">
        <v>1670</v>
      </c>
      <c r="J1091" t="s">
        <v>1674</v>
      </c>
      <c r="K1091">
        <v>2</v>
      </c>
      <c r="L1091">
        <v>0</v>
      </c>
      <c r="M1091">
        <v>2</v>
      </c>
      <c r="N1091">
        <v>2</v>
      </c>
      <c r="O1091">
        <v>0</v>
      </c>
      <c r="P1091">
        <v>2</v>
      </c>
      <c r="Q1091">
        <f>N1091-K1091</f>
        <v>0</v>
      </c>
      <c r="R1091">
        <f>O1091-L1091</f>
        <v>0</v>
      </c>
      <c r="S1091">
        <f>P1091-M1091</f>
        <v>0</v>
      </c>
      <c r="T1091">
        <v>0</v>
      </c>
      <c r="U1091" s="14">
        <v>0</v>
      </c>
      <c r="V1091" s="14">
        <v>0</v>
      </c>
      <c r="W1091" s="16">
        <v>0</v>
      </c>
      <c r="X1091" s="16">
        <v>0</v>
      </c>
    </row>
    <row r="1092" spans="1:24" x14ac:dyDescent="0.2">
      <c r="A1092" t="s">
        <v>14</v>
      </c>
      <c r="B1092" s="35" t="s">
        <v>19</v>
      </c>
      <c r="C1092" t="s">
        <v>57</v>
      </c>
      <c r="D1092" t="s">
        <v>147</v>
      </c>
      <c r="E1092" t="s">
        <v>401</v>
      </c>
      <c r="F1092" t="s">
        <v>401</v>
      </c>
      <c r="H1092" t="s">
        <v>1670</v>
      </c>
      <c r="I1092" t="s">
        <v>1670</v>
      </c>
      <c r="J1092" t="s">
        <v>1674</v>
      </c>
      <c r="K1092">
        <v>2</v>
      </c>
      <c r="L1092">
        <v>0</v>
      </c>
      <c r="M1092">
        <v>2</v>
      </c>
      <c r="N1092">
        <v>2</v>
      </c>
      <c r="O1092">
        <v>0</v>
      </c>
      <c r="P1092">
        <v>2</v>
      </c>
      <c r="Q1092">
        <f>N1092-K1092</f>
        <v>0</v>
      </c>
      <c r="R1092">
        <f>O1092-L1092</f>
        <v>0</v>
      </c>
      <c r="S1092">
        <f>P1092-M1092</f>
        <v>0</v>
      </c>
      <c r="T1092">
        <v>0</v>
      </c>
      <c r="U1092" s="14">
        <v>0</v>
      </c>
      <c r="V1092" s="14">
        <v>0</v>
      </c>
      <c r="W1092" s="16">
        <v>0</v>
      </c>
      <c r="X1092" s="16">
        <v>0</v>
      </c>
    </row>
    <row r="1093" spans="1:24" x14ac:dyDescent="0.2">
      <c r="A1093" t="s">
        <v>12</v>
      </c>
      <c r="B1093" t="s">
        <v>19</v>
      </c>
      <c r="C1093" t="s">
        <v>28</v>
      </c>
      <c r="D1093" t="s">
        <v>75</v>
      </c>
      <c r="E1093" t="s">
        <v>273</v>
      </c>
      <c r="F1093" t="s">
        <v>273</v>
      </c>
      <c r="H1093" t="s">
        <v>1669</v>
      </c>
      <c r="I1093" t="s">
        <v>1671</v>
      </c>
      <c r="J1093" t="s">
        <v>1674</v>
      </c>
      <c r="K1093">
        <v>18</v>
      </c>
      <c r="L1093">
        <v>1</v>
      </c>
      <c r="M1093">
        <v>19</v>
      </c>
      <c r="N1093">
        <v>6</v>
      </c>
      <c r="O1093">
        <v>1</v>
      </c>
      <c r="P1093">
        <v>7</v>
      </c>
      <c r="Q1093">
        <f>N1093-K1093</f>
        <v>-12</v>
      </c>
      <c r="R1093">
        <f>O1093-L1093</f>
        <v>0</v>
      </c>
      <c r="S1093">
        <f>P1093-M1093</f>
        <v>-12</v>
      </c>
      <c r="T1093">
        <v>180</v>
      </c>
      <c r="U1093" s="14">
        <v>1348820.0699999991</v>
      </c>
      <c r="V1093" s="14">
        <v>1322</v>
      </c>
      <c r="W1093" s="16">
        <v>4.3595049749241884E-3</v>
      </c>
      <c r="X1093" s="16">
        <v>2.3941815231485843E-3</v>
      </c>
    </row>
    <row r="1094" spans="1:24" x14ac:dyDescent="0.2">
      <c r="A1094" t="s">
        <v>13</v>
      </c>
      <c r="B1094" t="s">
        <v>20</v>
      </c>
      <c r="C1094" t="s">
        <v>33</v>
      </c>
      <c r="D1094" t="s">
        <v>87</v>
      </c>
      <c r="E1094" t="s">
        <v>296</v>
      </c>
      <c r="F1094" t="s">
        <v>762</v>
      </c>
      <c r="H1094" t="s">
        <v>1669</v>
      </c>
      <c r="I1094" t="s">
        <v>1670</v>
      </c>
      <c r="J1094" t="s">
        <v>1674</v>
      </c>
      <c r="K1094">
        <v>15</v>
      </c>
      <c r="L1094">
        <v>0</v>
      </c>
      <c r="M1094">
        <v>15</v>
      </c>
      <c r="N1094">
        <v>3</v>
      </c>
      <c r="O1094">
        <v>0</v>
      </c>
      <c r="P1094">
        <v>3</v>
      </c>
      <c r="Q1094">
        <f>N1094-K1094</f>
        <v>-12</v>
      </c>
      <c r="R1094">
        <f>O1094-L1094</f>
        <v>0</v>
      </c>
      <c r="S1094">
        <f>P1094-M1094</f>
        <v>-12</v>
      </c>
      <c r="T1094">
        <v>5</v>
      </c>
      <c r="U1094" s="14">
        <v>66807.39</v>
      </c>
      <c r="V1094" s="14">
        <v>20</v>
      </c>
      <c r="W1094" s="16">
        <v>2.1592735424429195E-4</v>
      </c>
      <c r="X1094" s="16">
        <v>3.6220597929630622E-5</v>
      </c>
    </row>
    <row r="1095" spans="1:24" x14ac:dyDescent="0.2">
      <c r="A1095" t="s">
        <v>17</v>
      </c>
      <c r="B1095" t="s">
        <v>23</v>
      </c>
      <c r="C1095" t="s">
        <v>61</v>
      </c>
      <c r="D1095" t="s">
        <v>181</v>
      </c>
      <c r="E1095" t="s">
        <v>497</v>
      </c>
      <c r="F1095" t="s">
        <v>1106</v>
      </c>
      <c r="H1095" t="s">
        <v>1669</v>
      </c>
      <c r="I1095" t="s">
        <v>1671</v>
      </c>
      <c r="J1095" t="s">
        <v>1674</v>
      </c>
      <c r="K1095">
        <v>11</v>
      </c>
      <c r="L1095">
        <v>1</v>
      </c>
      <c r="M1095">
        <v>12</v>
      </c>
      <c r="N1095">
        <v>0</v>
      </c>
      <c r="O1095">
        <v>0</v>
      </c>
      <c r="P1095">
        <v>0</v>
      </c>
      <c r="Q1095">
        <f>N1095-K1095</f>
        <v>-11</v>
      </c>
      <c r="R1095">
        <f>O1095-L1095</f>
        <v>-1</v>
      </c>
      <c r="S1095">
        <f>P1095-M1095</f>
        <v>-12</v>
      </c>
      <c r="T1095">
        <v>215</v>
      </c>
      <c r="U1095" s="14">
        <v>1454867.149999999</v>
      </c>
      <c r="V1095" s="14">
        <v>3193</v>
      </c>
      <c r="W1095" s="16">
        <v>4.7022584548870004E-3</v>
      </c>
      <c r="X1095" s="16">
        <v>5.7826184594655288E-3</v>
      </c>
    </row>
    <row r="1096" spans="1:24" x14ac:dyDescent="0.2">
      <c r="A1096" t="s">
        <v>15</v>
      </c>
      <c r="B1096" t="s">
        <v>24</v>
      </c>
      <c r="C1096" t="s">
        <v>58</v>
      </c>
      <c r="D1096" t="s">
        <v>150</v>
      </c>
      <c r="E1096" t="s">
        <v>135</v>
      </c>
      <c r="F1096" t="s">
        <v>965</v>
      </c>
      <c r="H1096" t="s">
        <v>1669</v>
      </c>
      <c r="I1096" t="s">
        <v>1670</v>
      </c>
      <c r="J1096" t="s">
        <v>1674</v>
      </c>
      <c r="K1096">
        <v>16</v>
      </c>
      <c r="L1096">
        <v>1</v>
      </c>
      <c r="M1096">
        <v>17</v>
      </c>
      <c r="N1096">
        <v>2</v>
      </c>
      <c r="O1096">
        <v>2</v>
      </c>
      <c r="P1096">
        <v>4</v>
      </c>
      <c r="Q1096">
        <f>N1096-K1096</f>
        <v>-14</v>
      </c>
      <c r="R1096">
        <f>O1096-L1096</f>
        <v>1</v>
      </c>
      <c r="S1096">
        <f>P1096-M1096</f>
        <v>-13</v>
      </c>
      <c r="T1096">
        <v>7</v>
      </c>
      <c r="U1096" s="14">
        <v>7957.09</v>
      </c>
      <c r="V1096" s="14">
        <v>15</v>
      </c>
      <c r="W1096" s="16">
        <v>2.5718013997908213E-5</v>
      </c>
      <c r="X1096" s="16">
        <v>2.7165448447222968E-5</v>
      </c>
    </row>
    <row r="1097" spans="1:24" x14ac:dyDescent="0.2">
      <c r="A1097" t="s">
        <v>14</v>
      </c>
      <c r="B1097" s="35" t="s">
        <v>19</v>
      </c>
      <c r="C1097" t="s">
        <v>57</v>
      </c>
      <c r="D1097" t="s">
        <v>147</v>
      </c>
      <c r="E1097" t="s">
        <v>402</v>
      </c>
      <c r="F1097" t="s">
        <v>922</v>
      </c>
      <c r="H1097" t="s">
        <v>1670</v>
      </c>
      <c r="I1097" t="s">
        <v>1670</v>
      </c>
      <c r="J1097" t="s">
        <v>1674</v>
      </c>
      <c r="K1097">
        <v>2</v>
      </c>
      <c r="L1097">
        <v>0</v>
      </c>
      <c r="M1097">
        <v>2</v>
      </c>
      <c r="N1097">
        <v>2</v>
      </c>
      <c r="O1097">
        <v>0</v>
      </c>
      <c r="P1097">
        <v>2</v>
      </c>
      <c r="Q1097">
        <f>N1097-K1097</f>
        <v>0</v>
      </c>
      <c r="R1097">
        <f>O1097-L1097</f>
        <v>0</v>
      </c>
      <c r="S1097">
        <f>P1097-M1097</f>
        <v>0</v>
      </c>
      <c r="T1097">
        <v>0</v>
      </c>
      <c r="U1097" s="14">
        <v>0</v>
      </c>
      <c r="V1097" s="14">
        <v>0</v>
      </c>
      <c r="W1097" s="16">
        <v>0</v>
      </c>
      <c r="X1097" s="16">
        <v>0</v>
      </c>
    </row>
    <row r="1098" spans="1:24" x14ac:dyDescent="0.2">
      <c r="A1098" t="s">
        <v>13</v>
      </c>
      <c r="B1098" t="s">
        <v>20</v>
      </c>
      <c r="C1098" t="s">
        <v>33</v>
      </c>
      <c r="D1098" t="s">
        <v>87</v>
      </c>
      <c r="E1098" t="s">
        <v>299</v>
      </c>
      <c r="F1098" t="s">
        <v>783</v>
      </c>
      <c r="H1098" t="s">
        <v>1669</v>
      </c>
      <c r="I1098" t="s">
        <v>1670</v>
      </c>
      <c r="J1098" t="s">
        <v>1674</v>
      </c>
      <c r="K1098">
        <v>18</v>
      </c>
      <c r="L1098">
        <v>0</v>
      </c>
      <c r="M1098">
        <v>18</v>
      </c>
      <c r="N1098">
        <v>5</v>
      </c>
      <c r="O1098">
        <v>0</v>
      </c>
      <c r="P1098">
        <v>5</v>
      </c>
      <c r="Q1098">
        <f>N1098-K1098</f>
        <v>-13</v>
      </c>
      <c r="R1098">
        <f>O1098-L1098</f>
        <v>0</v>
      </c>
      <c r="S1098">
        <f>P1098-M1098</f>
        <v>-13</v>
      </c>
      <c r="T1098">
        <v>3</v>
      </c>
      <c r="U1098" s="14">
        <v>150688</v>
      </c>
      <c r="V1098" s="14">
        <v>5</v>
      </c>
      <c r="W1098" s="16">
        <v>4.8703685559881726E-4</v>
      </c>
      <c r="X1098" s="16">
        <v>9.0551494824076554E-6</v>
      </c>
    </row>
    <row r="1099" spans="1:24" x14ac:dyDescent="0.2">
      <c r="A1099" t="s">
        <v>17</v>
      </c>
      <c r="B1099" s="35" t="s">
        <v>19</v>
      </c>
      <c r="C1099" t="s">
        <v>42</v>
      </c>
      <c r="D1099" t="s">
        <v>113</v>
      </c>
      <c r="E1099" t="s">
        <v>451</v>
      </c>
      <c r="F1099" t="s">
        <v>1102</v>
      </c>
      <c r="H1099" t="s">
        <v>1670</v>
      </c>
      <c r="I1099" t="s">
        <v>1670</v>
      </c>
      <c r="J1099" t="s">
        <v>1674</v>
      </c>
      <c r="K1099">
        <v>2</v>
      </c>
      <c r="L1099">
        <v>0</v>
      </c>
      <c r="M1099">
        <v>2</v>
      </c>
      <c r="N1099">
        <v>2</v>
      </c>
      <c r="O1099">
        <v>0</v>
      </c>
      <c r="P1099">
        <v>2</v>
      </c>
      <c r="Q1099">
        <f>N1099-K1099</f>
        <v>0</v>
      </c>
      <c r="R1099">
        <f>O1099-L1099</f>
        <v>0</v>
      </c>
      <c r="S1099">
        <f>P1099-M1099</f>
        <v>0</v>
      </c>
      <c r="T1099">
        <v>0</v>
      </c>
      <c r="U1099" s="14">
        <v>0</v>
      </c>
      <c r="V1099" s="14">
        <v>0</v>
      </c>
      <c r="W1099" s="16">
        <v>0</v>
      </c>
      <c r="X1099" s="16">
        <v>0</v>
      </c>
    </row>
    <row r="1100" spans="1:24" x14ac:dyDescent="0.2">
      <c r="A1100" t="s">
        <v>15</v>
      </c>
      <c r="B1100" t="s">
        <v>24</v>
      </c>
      <c r="C1100" t="s">
        <v>58</v>
      </c>
      <c r="D1100" t="s">
        <v>150</v>
      </c>
      <c r="E1100" t="s">
        <v>426</v>
      </c>
      <c r="F1100" t="s">
        <v>982</v>
      </c>
      <c r="H1100" t="s">
        <v>1669</v>
      </c>
      <c r="I1100" t="s">
        <v>1671</v>
      </c>
      <c r="J1100" t="s">
        <v>1674</v>
      </c>
      <c r="K1100">
        <v>20</v>
      </c>
      <c r="L1100">
        <v>6</v>
      </c>
      <c r="M1100">
        <v>26</v>
      </c>
      <c r="N1100">
        <v>9</v>
      </c>
      <c r="O1100">
        <v>4</v>
      </c>
      <c r="P1100">
        <v>13</v>
      </c>
      <c r="Q1100">
        <f>N1100-K1100</f>
        <v>-11</v>
      </c>
      <c r="R1100">
        <f>O1100-L1100</f>
        <v>-2</v>
      </c>
      <c r="S1100">
        <f>P1100-M1100</f>
        <v>-13</v>
      </c>
      <c r="T1100">
        <v>82</v>
      </c>
      <c r="U1100" s="14">
        <v>170180.97</v>
      </c>
      <c r="V1100" s="14">
        <v>1017</v>
      </c>
      <c r="W1100" s="16">
        <v>5.5003984731071258E-4</v>
      </c>
      <c r="X1100" s="16">
        <v>1.8418174047217172E-3</v>
      </c>
    </row>
    <row r="1101" spans="1:24" x14ac:dyDescent="0.2">
      <c r="A1101" t="s">
        <v>12</v>
      </c>
      <c r="B1101" t="s">
        <v>18</v>
      </c>
      <c r="C1101" t="s">
        <v>26</v>
      </c>
      <c r="D1101" t="s">
        <v>64</v>
      </c>
      <c r="E1101" t="s">
        <v>244</v>
      </c>
      <c r="F1101" t="s">
        <v>244</v>
      </c>
      <c r="H1101" t="s">
        <v>1669</v>
      </c>
      <c r="I1101" t="s">
        <v>1670</v>
      </c>
      <c r="J1101" t="s">
        <v>1674</v>
      </c>
      <c r="K1101">
        <v>21</v>
      </c>
      <c r="L1101">
        <v>0</v>
      </c>
      <c r="M1101">
        <v>21</v>
      </c>
      <c r="N1101">
        <v>7</v>
      </c>
      <c r="O1101">
        <v>0</v>
      </c>
      <c r="P1101">
        <v>7</v>
      </c>
      <c r="Q1101">
        <f>N1101-K1101</f>
        <v>-14</v>
      </c>
      <c r="R1101">
        <f>O1101-L1101</f>
        <v>0</v>
      </c>
      <c r="S1101">
        <f>P1101-M1101</f>
        <v>-14</v>
      </c>
      <c r="T1101">
        <v>15</v>
      </c>
      <c r="U1101" s="14">
        <v>86780.930000000008</v>
      </c>
      <c r="V1101" s="14">
        <v>121</v>
      </c>
      <c r="W1101" s="16">
        <v>2.8048359041954945E-4</v>
      </c>
      <c r="X1101" s="16">
        <v>2.1913461747426527E-4</v>
      </c>
    </row>
    <row r="1102" spans="1:24" x14ac:dyDescent="0.2">
      <c r="A1102" t="s">
        <v>17</v>
      </c>
      <c r="B1102" s="35" t="s">
        <v>19</v>
      </c>
      <c r="C1102" t="s">
        <v>52</v>
      </c>
      <c r="D1102" t="s">
        <v>140</v>
      </c>
      <c r="E1102" t="s">
        <v>511</v>
      </c>
      <c r="F1102" t="s">
        <v>1130</v>
      </c>
      <c r="H1102" t="s">
        <v>1670</v>
      </c>
      <c r="I1102" t="s">
        <v>1670</v>
      </c>
      <c r="J1102" t="s">
        <v>1674</v>
      </c>
      <c r="K1102">
        <v>2</v>
      </c>
      <c r="L1102">
        <v>0</v>
      </c>
      <c r="M1102">
        <v>2</v>
      </c>
      <c r="N1102">
        <v>2</v>
      </c>
      <c r="O1102">
        <v>0</v>
      </c>
      <c r="P1102">
        <v>2</v>
      </c>
      <c r="Q1102">
        <f>N1102-K1102</f>
        <v>0</v>
      </c>
      <c r="R1102">
        <f>O1102-L1102</f>
        <v>0</v>
      </c>
      <c r="S1102">
        <f>P1102-M1102</f>
        <v>0</v>
      </c>
      <c r="T1102">
        <v>0</v>
      </c>
      <c r="U1102" s="14">
        <v>0</v>
      </c>
      <c r="V1102" s="14">
        <v>0</v>
      </c>
      <c r="W1102" s="16">
        <v>0</v>
      </c>
      <c r="X1102" s="16">
        <v>0</v>
      </c>
    </row>
    <row r="1103" spans="1:24" x14ac:dyDescent="0.2">
      <c r="A1103" t="s">
        <v>14</v>
      </c>
      <c r="B1103" s="35" t="s">
        <v>19</v>
      </c>
      <c r="C1103" t="s">
        <v>43</v>
      </c>
      <c r="D1103" t="s">
        <v>117</v>
      </c>
      <c r="E1103" t="s">
        <v>117</v>
      </c>
      <c r="F1103" t="s">
        <v>868</v>
      </c>
      <c r="H1103" t="s">
        <v>1670</v>
      </c>
      <c r="I1103" t="s">
        <v>1670</v>
      </c>
      <c r="J1103" t="s">
        <v>1674</v>
      </c>
      <c r="K1103">
        <v>3</v>
      </c>
      <c r="L1103">
        <v>0</v>
      </c>
      <c r="M1103">
        <v>3</v>
      </c>
      <c r="N1103">
        <v>3</v>
      </c>
      <c r="O1103">
        <v>0</v>
      </c>
      <c r="P1103">
        <v>3</v>
      </c>
      <c r="Q1103">
        <f>N1103-K1103</f>
        <v>0</v>
      </c>
      <c r="R1103">
        <f>O1103-L1103</f>
        <v>0</v>
      </c>
      <c r="S1103">
        <f>P1103-M1103</f>
        <v>0</v>
      </c>
      <c r="T1103">
        <v>0</v>
      </c>
      <c r="U1103" s="14">
        <v>0</v>
      </c>
      <c r="V1103" s="14">
        <v>0</v>
      </c>
      <c r="W1103" s="16">
        <v>0</v>
      </c>
      <c r="X1103" s="16">
        <v>0</v>
      </c>
    </row>
    <row r="1104" spans="1:24" x14ac:dyDescent="0.2">
      <c r="A1104" t="s">
        <v>15</v>
      </c>
      <c r="B1104" t="s">
        <v>24</v>
      </c>
      <c r="C1104" t="s">
        <v>49</v>
      </c>
      <c r="D1104" t="s">
        <v>152</v>
      </c>
      <c r="E1104" t="s">
        <v>429</v>
      </c>
      <c r="F1104" t="s">
        <v>988</v>
      </c>
      <c r="H1104" t="s">
        <v>1669</v>
      </c>
      <c r="I1104" t="s">
        <v>1670</v>
      </c>
      <c r="J1104" t="s">
        <v>1674</v>
      </c>
      <c r="K1104">
        <v>14</v>
      </c>
      <c r="L1104">
        <v>0</v>
      </c>
      <c r="M1104">
        <v>14</v>
      </c>
      <c r="N1104">
        <v>0</v>
      </c>
      <c r="O1104">
        <v>0</v>
      </c>
      <c r="P1104">
        <v>0</v>
      </c>
      <c r="Q1104">
        <f>N1104-K1104</f>
        <v>-14</v>
      </c>
      <c r="R1104">
        <f>O1104-L1104</f>
        <v>0</v>
      </c>
      <c r="S1104">
        <f>P1104-M1104</f>
        <v>-14</v>
      </c>
      <c r="T1104">
        <v>3</v>
      </c>
      <c r="U1104" s="14">
        <v>3905.5299999999997</v>
      </c>
      <c r="V1104" s="14">
        <v>14</v>
      </c>
      <c r="W1104" s="16">
        <v>1.2623016103782972E-5</v>
      </c>
      <c r="X1104" s="16">
        <v>2.5354418550741437E-5</v>
      </c>
    </row>
    <row r="1105" spans="1:24" x14ac:dyDescent="0.2">
      <c r="A1105" t="s">
        <v>17</v>
      </c>
      <c r="B1105" t="s">
        <v>24</v>
      </c>
      <c r="C1105" t="s">
        <v>49</v>
      </c>
      <c r="D1105" t="s">
        <v>152</v>
      </c>
      <c r="E1105" t="s">
        <v>484</v>
      </c>
      <c r="F1105" t="s">
        <v>1085</v>
      </c>
      <c r="H1105" t="s">
        <v>1669</v>
      </c>
      <c r="I1105" t="s">
        <v>1671</v>
      </c>
      <c r="J1105" t="s">
        <v>1674</v>
      </c>
      <c r="K1105">
        <v>13</v>
      </c>
      <c r="L1105">
        <v>1</v>
      </c>
      <c r="M1105">
        <v>14</v>
      </c>
      <c r="N1105">
        <v>0</v>
      </c>
      <c r="O1105">
        <v>0</v>
      </c>
      <c r="P1105">
        <v>0</v>
      </c>
      <c r="Q1105">
        <f>N1105-K1105</f>
        <v>-13</v>
      </c>
      <c r="R1105">
        <f>O1105-L1105</f>
        <v>-1</v>
      </c>
      <c r="S1105">
        <f>P1105-M1105</f>
        <v>-14</v>
      </c>
      <c r="T1105">
        <v>8</v>
      </c>
      <c r="U1105" s="14">
        <v>18708</v>
      </c>
      <c r="V1105" s="14">
        <v>14</v>
      </c>
      <c r="W1105" s="16">
        <v>6.0465899703643771E-5</v>
      </c>
      <c r="X1105" s="16">
        <v>2.5354418550741437E-5</v>
      </c>
    </row>
    <row r="1106" spans="1:24" x14ac:dyDescent="0.2">
      <c r="A1106" t="s">
        <v>13</v>
      </c>
      <c r="B1106" t="s">
        <v>20</v>
      </c>
      <c r="C1106" t="s">
        <v>33</v>
      </c>
      <c r="D1106" t="s">
        <v>87</v>
      </c>
      <c r="E1106" t="s">
        <v>297</v>
      </c>
      <c r="F1106" t="s">
        <v>767</v>
      </c>
      <c r="H1106" t="s">
        <v>1669</v>
      </c>
      <c r="I1106" t="s">
        <v>1670</v>
      </c>
      <c r="J1106" t="s">
        <v>1674</v>
      </c>
      <c r="K1106">
        <v>17</v>
      </c>
      <c r="L1106">
        <v>0</v>
      </c>
      <c r="M1106">
        <v>17</v>
      </c>
      <c r="N1106">
        <v>2</v>
      </c>
      <c r="O1106">
        <v>0</v>
      </c>
      <c r="P1106">
        <v>2</v>
      </c>
      <c r="Q1106">
        <f>N1106-K1106</f>
        <v>-15</v>
      </c>
      <c r="R1106">
        <f>O1106-L1106</f>
        <v>0</v>
      </c>
      <c r="S1106">
        <f>P1106-M1106</f>
        <v>-15</v>
      </c>
      <c r="T1106">
        <v>9</v>
      </c>
      <c r="U1106" s="14">
        <v>125240.37000000002</v>
      </c>
      <c r="V1106" s="14">
        <v>58</v>
      </c>
      <c r="W1106" s="16">
        <v>4.0478787958452201E-4</v>
      </c>
      <c r="X1106" s="16">
        <v>1.0503973399592881E-4</v>
      </c>
    </row>
    <row r="1107" spans="1:24" x14ac:dyDescent="0.2">
      <c r="A1107" t="s">
        <v>13</v>
      </c>
      <c r="B1107" t="s">
        <v>20</v>
      </c>
      <c r="C1107" t="s">
        <v>38</v>
      </c>
      <c r="D1107" t="s">
        <v>101</v>
      </c>
      <c r="E1107" t="s">
        <v>334</v>
      </c>
      <c r="F1107" t="s">
        <v>334</v>
      </c>
      <c r="H1107" t="s">
        <v>1669</v>
      </c>
      <c r="I1107" t="s">
        <v>1671</v>
      </c>
      <c r="J1107" t="s">
        <v>1674</v>
      </c>
      <c r="K1107">
        <v>25</v>
      </c>
      <c r="L1107">
        <v>0</v>
      </c>
      <c r="M1107">
        <v>25</v>
      </c>
      <c r="N1107">
        <v>10</v>
      </c>
      <c r="O1107">
        <v>0</v>
      </c>
      <c r="P1107">
        <v>10</v>
      </c>
      <c r="Q1107">
        <f>N1107-K1107</f>
        <v>-15</v>
      </c>
      <c r="R1107">
        <f>O1107-L1107</f>
        <v>0</v>
      </c>
      <c r="S1107">
        <f>P1107-M1107</f>
        <v>-15</v>
      </c>
      <c r="T1107">
        <v>8</v>
      </c>
      <c r="U1107" s="14">
        <v>237336</v>
      </c>
      <c r="V1107" s="14">
        <v>87</v>
      </c>
      <c r="W1107" s="16">
        <v>7.6709080457900358E-4</v>
      </c>
      <c r="X1107" s="16">
        <v>1.575596009938932E-4</v>
      </c>
    </row>
    <row r="1108" spans="1:24" x14ac:dyDescent="0.2">
      <c r="A1108" t="s">
        <v>13</v>
      </c>
      <c r="B1108" t="s">
        <v>20</v>
      </c>
      <c r="C1108" t="s">
        <v>33</v>
      </c>
      <c r="D1108" t="s">
        <v>87</v>
      </c>
      <c r="E1108" t="s">
        <v>298</v>
      </c>
      <c r="F1108" t="s">
        <v>780</v>
      </c>
      <c r="H1108" t="s">
        <v>1669</v>
      </c>
      <c r="I1108" t="s">
        <v>1670</v>
      </c>
      <c r="J1108" t="s">
        <v>1674</v>
      </c>
      <c r="K1108">
        <v>31</v>
      </c>
      <c r="L1108">
        <v>0</v>
      </c>
      <c r="M1108">
        <v>31</v>
      </c>
      <c r="N1108">
        <v>15</v>
      </c>
      <c r="O1108">
        <v>0</v>
      </c>
      <c r="P1108">
        <v>15</v>
      </c>
      <c r="Q1108">
        <f>N1108-K1108</f>
        <v>-16</v>
      </c>
      <c r="R1108">
        <f>O1108-L1108</f>
        <v>0</v>
      </c>
      <c r="S1108">
        <f>P1108-M1108</f>
        <v>-16</v>
      </c>
      <c r="T1108">
        <v>18</v>
      </c>
      <c r="U1108" s="14">
        <v>390941.26</v>
      </c>
      <c r="V1108" s="14">
        <v>90</v>
      </c>
      <c r="W1108" s="16">
        <v>1.2635565008112103E-3</v>
      </c>
      <c r="X1108" s="16">
        <v>1.6299269068333779E-4</v>
      </c>
    </row>
    <row r="1109" spans="1:24" x14ac:dyDescent="0.2">
      <c r="A1109" t="s">
        <v>14</v>
      </c>
      <c r="B1109" s="35" t="s">
        <v>19</v>
      </c>
      <c r="C1109" t="s">
        <v>44</v>
      </c>
      <c r="D1109" t="s">
        <v>119</v>
      </c>
      <c r="E1109" t="s">
        <v>362</v>
      </c>
      <c r="F1109" t="s">
        <v>872</v>
      </c>
      <c r="H1109" t="s">
        <v>1670</v>
      </c>
      <c r="I1109" t="s">
        <v>1671</v>
      </c>
      <c r="J1109" t="s">
        <v>1674</v>
      </c>
      <c r="K1109">
        <v>3</v>
      </c>
      <c r="L1109">
        <v>0</v>
      </c>
      <c r="M1109">
        <v>3</v>
      </c>
      <c r="N1109">
        <v>3</v>
      </c>
      <c r="O1109">
        <v>0</v>
      </c>
      <c r="P1109">
        <v>3</v>
      </c>
      <c r="Q1109">
        <f>N1109-K1109</f>
        <v>0</v>
      </c>
      <c r="R1109">
        <f>O1109-L1109</f>
        <v>0</v>
      </c>
      <c r="S1109">
        <f>P1109-M1109</f>
        <v>0</v>
      </c>
      <c r="T1109">
        <v>0</v>
      </c>
      <c r="U1109" s="14">
        <v>0</v>
      </c>
      <c r="V1109" s="14">
        <v>0</v>
      </c>
      <c r="W1109" s="16">
        <v>0</v>
      </c>
      <c r="X1109" s="16">
        <v>0</v>
      </c>
    </row>
    <row r="1110" spans="1:24" x14ac:dyDescent="0.2">
      <c r="A1110" t="s">
        <v>15</v>
      </c>
      <c r="B1110" t="s">
        <v>24</v>
      </c>
      <c r="C1110" t="s">
        <v>58</v>
      </c>
      <c r="D1110" t="s">
        <v>149</v>
      </c>
      <c r="E1110" t="s">
        <v>416</v>
      </c>
      <c r="F1110" t="s">
        <v>416</v>
      </c>
      <c r="H1110" t="s">
        <v>1669</v>
      </c>
      <c r="I1110" t="s">
        <v>1670</v>
      </c>
      <c r="J1110" t="s">
        <v>1673</v>
      </c>
      <c r="K1110">
        <v>16</v>
      </c>
      <c r="L1110">
        <v>0</v>
      </c>
      <c r="M1110">
        <v>16</v>
      </c>
      <c r="N1110">
        <v>0</v>
      </c>
      <c r="O1110">
        <v>0</v>
      </c>
      <c r="P1110">
        <v>0</v>
      </c>
      <c r="Q1110">
        <f>N1110-K1110</f>
        <v>-16</v>
      </c>
      <c r="R1110">
        <f>O1110-L1110</f>
        <v>0</v>
      </c>
      <c r="S1110">
        <f>P1110-M1110</f>
        <v>-16</v>
      </c>
      <c r="T1110">
        <v>36</v>
      </c>
      <c r="U1110" s="14">
        <v>103131.56000000001</v>
      </c>
      <c r="V1110" s="14">
        <v>183</v>
      </c>
      <c r="W1110" s="16">
        <v>3.3333026316230066E-4</v>
      </c>
      <c r="X1110" s="16">
        <v>3.3141847105612021E-4</v>
      </c>
    </row>
    <row r="1111" spans="1:24" x14ac:dyDescent="0.2">
      <c r="A1111" t="s">
        <v>12</v>
      </c>
      <c r="B1111" t="s">
        <v>18</v>
      </c>
      <c r="C1111" t="s">
        <v>26</v>
      </c>
      <c r="D1111" t="s">
        <v>63</v>
      </c>
      <c r="E1111" t="s">
        <v>235</v>
      </c>
      <c r="F1111" t="s">
        <v>235</v>
      </c>
      <c r="H1111" t="s">
        <v>1669</v>
      </c>
      <c r="I1111" t="s">
        <v>1670</v>
      </c>
      <c r="J1111" t="s">
        <v>1674</v>
      </c>
      <c r="K1111">
        <v>21</v>
      </c>
      <c r="L1111">
        <v>0</v>
      </c>
      <c r="M1111">
        <v>21</v>
      </c>
      <c r="N1111">
        <v>4</v>
      </c>
      <c r="O1111">
        <v>0</v>
      </c>
      <c r="P1111">
        <v>4</v>
      </c>
      <c r="Q1111">
        <f>N1111-K1111</f>
        <v>-17</v>
      </c>
      <c r="R1111">
        <f>O1111-L1111</f>
        <v>0</v>
      </c>
      <c r="S1111">
        <f>P1111-M1111</f>
        <v>-17</v>
      </c>
      <c r="T1111">
        <v>0</v>
      </c>
      <c r="U1111" s="14">
        <v>0</v>
      </c>
      <c r="V1111" s="14">
        <v>0</v>
      </c>
      <c r="W1111" s="16">
        <v>0</v>
      </c>
      <c r="X1111" s="16">
        <v>0</v>
      </c>
    </row>
    <row r="1112" spans="1:24" x14ac:dyDescent="0.2">
      <c r="A1112" t="s">
        <v>12</v>
      </c>
      <c r="B1112" t="s">
        <v>18</v>
      </c>
      <c r="C1112" t="s">
        <v>26</v>
      </c>
      <c r="D1112" t="s">
        <v>63</v>
      </c>
      <c r="E1112" t="s">
        <v>236</v>
      </c>
      <c r="F1112" t="s">
        <v>236</v>
      </c>
      <c r="H1112" t="s">
        <v>1669</v>
      </c>
      <c r="I1112" t="s">
        <v>1670</v>
      </c>
      <c r="J1112" t="s">
        <v>1674</v>
      </c>
      <c r="K1112">
        <v>28</v>
      </c>
      <c r="L1112">
        <v>0</v>
      </c>
      <c r="M1112">
        <v>28</v>
      </c>
      <c r="N1112">
        <v>11</v>
      </c>
      <c r="O1112">
        <v>0</v>
      </c>
      <c r="P1112">
        <v>11</v>
      </c>
      <c r="Q1112">
        <f>N1112-K1112</f>
        <v>-17</v>
      </c>
      <c r="R1112">
        <f>O1112-L1112</f>
        <v>0</v>
      </c>
      <c r="S1112">
        <f>P1112-M1112</f>
        <v>-17</v>
      </c>
      <c r="T1112">
        <v>71</v>
      </c>
      <c r="U1112" s="14">
        <v>1134150.7999999996</v>
      </c>
      <c r="V1112" s="14">
        <v>1636</v>
      </c>
      <c r="W1112" s="16">
        <v>3.6656750332268186E-3</v>
      </c>
      <c r="X1112" s="16">
        <v>2.9628449106437848E-3</v>
      </c>
    </row>
    <row r="1113" spans="1:24" x14ac:dyDescent="0.2">
      <c r="A1113" t="s">
        <v>14</v>
      </c>
      <c r="B1113" s="35" t="s">
        <v>19</v>
      </c>
      <c r="C1113" t="s">
        <v>47</v>
      </c>
      <c r="D1113" t="s">
        <v>124</v>
      </c>
      <c r="E1113" t="s">
        <v>124</v>
      </c>
      <c r="F1113" t="s">
        <v>879</v>
      </c>
      <c r="H1113" t="s">
        <v>1670</v>
      </c>
      <c r="I1113" t="s">
        <v>1670</v>
      </c>
      <c r="J1113" t="s">
        <v>1674</v>
      </c>
      <c r="K1113">
        <v>3</v>
      </c>
      <c r="L1113">
        <v>0</v>
      </c>
      <c r="M1113">
        <v>3</v>
      </c>
      <c r="N1113">
        <v>3</v>
      </c>
      <c r="O1113">
        <v>0</v>
      </c>
      <c r="P1113">
        <v>3</v>
      </c>
      <c r="Q1113">
        <f>N1113-K1113</f>
        <v>0</v>
      </c>
      <c r="R1113">
        <f>O1113-L1113</f>
        <v>0</v>
      </c>
      <c r="S1113">
        <f>P1113-M1113</f>
        <v>0</v>
      </c>
      <c r="T1113">
        <v>0</v>
      </c>
      <c r="U1113" s="14">
        <v>0</v>
      </c>
      <c r="V1113" s="14">
        <v>0</v>
      </c>
      <c r="W1113" s="16">
        <v>0</v>
      </c>
      <c r="X1113" s="16">
        <v>0</v>
      </c>
    </row>
    <row r="1114" spans="1:24" x14ac:dyDescent="0.2">
      <c r="A1114" t="s">
        <v>13</v>
      </c>
      <c r="B1114" t="s">
        <v>20</v>
      </c>
      <c r="C1114" t="s">
        <v>33</v>
      </c>
      <c r="D1114" t="s">
        <v>87</v>
      </c>
      <c r="E1114" t="s">
        <v>296</v>
      </c>
      <c r="F1114" t="s">
        <v>757</v>
      </c>
      <c r="H1114" t="s">
        <v>1669</v>
      </c>
      <c r="I1114" t="s">
        <v>1670</v>
      </c>
      <c r="J1114" t="s">
        <v>1674</v>
      </c>
      <c r="K1114">
        <v>22</v>
      </c>
      <c r="L1114">
        <v>0</v>
      </c>
      <c r="M1114">
        <v>22</v>
      </c>
      <c r="N1114">
        <v>4</v>
      </c>
      <c r="O1114">
        <v>0</v>
      </c>
      <c r="P1114">
        <v>4</v>
      </c>
      <c r="Q1114">
        <f>N1114-K1114</f>
        <v>-18</v>
      </c>
      <c r="R1114">
        <f>O1114-L1114</f>
        <v>0</v>
      </c>
      <c r="S1114">
        <f>P1114-M1114</f>
        <v>-18</v>
      </c>
      <c r="T1114">
        <v>0</v>
      </c>
      <c r="U1114" s="14">
        <v>0</v>
      </c>
      <c r="V1114" s="14">
        <v>0</v>
      </c>
      <c r="W1114" s="16">
        <v>0</v>
      </c>
      <c r="X1114" s="16">
        <v>0</v>
      </c>
    </row>
    <row r="1115" spans="1:24" x14ac:dyDescent="0.2">
      <c r="A1115" t="s">
        <v>14</v>
      </c>
      <c r="B1115" s="35" t="s">
        <v>19</v>
      </c>
      <c r="C1115" t="s">
        <v>47</v>
      </c>
      <c r="D1115" t="s">
        <v>124</v>
      </c>
      <c r="E1115" t="s">
        <v>124</v>
      </c>
      <c r="F1115" t="s">
        <v>880</v>
      </c>
      <c r="H1115" t="s">
        <v>1670</v>
      </c>
      <c r="I1115" t="s">
        <v>1670</v>
      </c>
      <c r="J1115" t="s">
        <v>1674</v>
      </c>
      <c r="K1115">
        <v>3</v>
      </c>
      <c r="L1115">
        <v>0</v>
      </c>
      <c r="M1115">
        <v>3</v>
      </c>
      <c r="N1115">
        <v>3</v>
      </c>
      <c r="O1115">
        <v>0</v>
      </c>
      <c r="P1115">
        <v>3</v>
      </c>
      <c r="Q1115">
        <f>N1115-K1115</f>
        <v>0</v>
      </c>
      <c r="R1115">
        <f>O1115-L1115</f>
        <v>0</v>
      </c>
      <c r="S1115">
        <f>P1115-M1115</f>
        <v>0</v>
      </c>
      <c r="T1115">
        <v>0</v>
      </c>
      <c r="U1115" s="14">
        <v>0</v>
      </c>
      <c r="V1115" s="14">
        <v>0</v>
      </c>
      <c r="W1115" s="16">
        <v>0</v>
      </c>
      <c r="X1115" s="16">
        <v>0</v>
      </c>
    </row>
    <row r="1116" spans="1:24" x14ac:dyDescent="0.2">
      <c r="A1116" t="s">
        <v>16</v>
      </c>
      <c r="B1116" t="s">
        <v>22</v>
      </c>
      <c r="C1116" t="s">
        <v>39</v>
      </c>
      <c r="D1116" t="s">
        <v>155</v>
      </c>
      <c r="E1116" t="s">
        <v>445</v>
      </c>
      <c r="F1116" t="s">
        <v>1016</v>
      </c>
      <c r="H1116" t="s">
        <v>1669</v>
      </c>
      <c r="I1116" t="s">
        <v>1670</v>
      </c>
      <c r="J1116" t="s">
        <v>1674</v>
      </c>
      <c r="K1116">
        <v>37</v>
      </c>
      <c r="L1116">
        <v>0</v>
      </c>
      <c r="M1116">
        <v>37</v>
      </c>
      <c r="N1116">
        <v>15</v>
      </c>
      <c r="O1116">
        <v>2</v>
      </c>
      <c r="P1116">
        <v>17</v>
      </c>
      <c r="Q1116">
        <f>N1116-K1116</f>
        <v>-22</v>
      </c>
      <c r="R1116">
        <f>O1116-L1116</f>
        <v>2</v>
      </c>
      <c r="S1116">
        <f>P1116-M1116</f>
        <v>-20</v>
      </c>
      <c r="T1116">
        <v>14</v>
      </c>
      <c r="U1116" s="14">
        <v>252451.93</v>
      </c>
      <c r="V1116" s="14">
        <v>323</v>
      </c>
      <c r="W1116" s="16">
        <v>8.159468184397743E-4</v>
      </c>
      <c r="X1116" s="16">
        <v>5.8496265656353451E-4</v>
      </c>
    </row>
    <row r="1117" spans="1:24" x14ac:dyDescent="0.2">
      <c r="A1117" t="s">
        <v>15</v>
      </c>
      <c r="B1117" t="s">
        <v>24</v>
      </c>
      <c r="C1117" t="s">
        <v>58</v>
      </c>
      <c r="D1117" t="s">
        <v>149</v>
      </c>
      <c r="E1117" t="s">
        <v>417</v>
      </c>
      <c r="F1117" t="s">
        <v>417</v>
      </c>
      <c r="H1117" t="s">
        <v>1669</v>
      </c>
      <c r="I1117" t="s">
        <v>1670</v>
      </c>
      <c r="J1117" t="s">
        <v>1674</v>
      </c>
      <c r="K1117">
        <v>30</v>
      </c>
      <c r="L1117">
        <v>5</v>
      </c>
      <c r="M1117">
        <v>35</v>
      </c>
      <c r="N1117">
        <v>13</v>
      </c>
      <c r="O1117">
        <v>2</v>
      </c>
      <c r="P1117">
        <v>15</v>
      </c>
      <c r="Q1117">
        <f>N1117-K1117</f>
        <v>-17</v>
      </c>
      <c r="R1117">
        <f>O1117-L1117</f>
        <v>-3</v>
      </c>
      <c r="S1117">
        <f>P1117-M1117</f>
        <v>-20</v>
      </c>
      <c r="T1117">
        <v>152</v>
      </c>
      <c r="U1117" s="14">
        <v>493217.05</v>
      </c>
      <c r="V1117" s="14">
        <v>1393</v>
      </c>
      <c r="W1117" s="16">
        <v>1.5941208401447004E-3</v>
      </c>
      <c r="X1117" s="16">
        <v>2.5227646457987728E-3</v>
      </c>
    </row>
    <row r="1118" spans="1:24" x14ac:dyDescent="0.2">
      <c r="A1118" t="s">
        <v>13</v>
      </c>
      <c r="B1118" t="s">
        <v>20</v>
      </c>
      <c r="C1118" t="s">
        <v>33</v>
      </c>
      <c r="D1118" t="s">
        <v>87</v>
      </c>
      <c r="E1118" t="s">
        <v>296</v>
      </c>
      <c r="F1118" t="s">
        <v>763</v>
      </c>
      <c r="H1118" t="s">
        <v>1669</v>
      </c>
      <c r="I1118" t="s">
        <v>1670</v>
      </c>
      <c r="J1118" t="s">
        <v>1674</v>
      </c>
      <c r="K1118">
        <v>36</v>
      </c>
      <c r="L1118">
        <v>0</v>
      </c>
      <c r="M1118">
        <v>36</v>
      </c>
      <c r="N1118">
        <v>15</v>
      </c>
      <c r="O1118">
        <v>0</v>
      </c>
      <c r="P1118">
        <v>15</v>
      </c>
      <c r="Q1118">
        <f>N1118-K1118</f>
        <v>-21</v>
      </c>
      <c r="R1118">
        <f>O1118-L1118</f>
        <v>0</v>
      </c>
      <c r="S1118">
        <f>P1118-M1118</f>
        <v>-21</v>
      </c>
      <c r="T1118">
        <v>6</v>
      </c>
      <c r="U1118" s="14">
        <v>307143.28000000003</v>
      </c>
      <c r="V1118" s="14">
        <v>30</v>
      </c>
      <c r="W1118" s="16">
        <v>9.9271406687663987E-4</v>
      </c>
      <c r="X1118" s="16">
        <v>5.4330896894445936E-5</v>
      </c>
    </row>
    <row r="1119" spans="1:24" x14ac:dyDescent="0.2">
      <c r="A1119" t="s">
        <v>15</v>
      </c>
      <c r="B1119" t="s">
        <v>24</v>
      </c>
      <c r="C1119" t="s">
        <v>49</v>
      </c>
      <c r="D1119" t="s">
        <v>152</v>
      </c>
      <c r="E1119" t="s">
        <v>429</v>
      </c>
      <c r="F1119" s="10" t="s">
        <v>986</v>
      </c>
      <c r="G1119" s="10" t="s">
        <v>1719</v>
      </c>
      <c r="H1119" t="s">
        <v>1669</v>
      </c>
      <c r="I1119" t="s">
        <v>1671</v>
      </c>
      <c r="J1119" t="s">
        <v>1674</v>
      </c>
      <c r="K1119">
        <v>25</v>
      </c>
      <c r="L1119">
        <v>0</v>
      </c>
      <c r="M1119">
        <v>25</v>
      </c>
      <c r="N1119">
        <v>4</v>
      </c>
      <c r="O1119">
        <v>0</v>
      </c>
      <c r="P1119">
        <v>4</v>
      </c>
      <c r="Q1119">
        <f>N1119-K1119</f>
        <v>-21</v>
      </c>
      <c r="R1119">
        <f>O1119-L1119</f>
        <v>0</v>
      </c>
      <c r="S1119">
        <f>P1119-M1119</f>
        <v>-21</v>
      </c>
      <c r="T1119">
        <v>73</v>
      </c>
      <c r="U1119" s="14">
        <v>223138.32000000007</v>
      </c>
      <c r="V1119" s="14">
        <v>450</v>
      </c>
      <c r="W1119" s="16">
        <v>7.2120265539659897E-4</v>
      </c>
      <c r="X1119" s="16">
        <v>8.14963453416689E-4</v>
      </c>
    </row>
    <row r="1120" spans="1:24" x14ac:dyDescent="0.2">
      <c r="A1120" t="s">
        <v>15</v>
      </c>
      <c r="B1120" t="s">
        <v>24</v>
      </c>
      <c r="C1120" t="s">
        <v>58</v>
      </c>
      <c r="D1120" t="s">
        <v>148</v>
      </c>
      <c r="E1120" t="s">
        <v>406</v>
      </c>
      <c r="F1120" t="s">
        <v>934</v>
      </c>
      <c r="H1120" t="s">
        <v>1669</v>
      </c>
      <c r="I1120" t="s">
        <v>1670</v>
      </c>
      <c r="J1120" t="s">
        <v>1674</v>
      </c>
      <c r="K1120">
        <v>35</v>
      </c>
      <c r="L1120">
        <v>1</v>
      </c>
      <c r="M1120">
        <v>36</v>
      </c>
      <c r="N1120">
        <v>12</v>
      </c>
      <c r="O1120">
        <v>2</v>
      </c>
      <c r="P1120">
        <v>14</v>
      </c>
      <c r="Q1120">
        <f>N1120-K1120</f>
        <v>-23</v>
      </c>
      <c r="R1120">
        <f>O1120-L1120</f>
        <v>1</v>
      </c>
      <c r="S1120">
        <f>P1120-M1120</f>
        <v>-22</v>
      </c>
      <c r="T1120">
        <v>75</v>
      </c>
      <c r="U1120" s="14">
        <v>220989.00999999998</v>
      </c>
      <c r="V1120" s="14">
        <v>1072</v>
      </c>
      <c r="W1120" s="16">
        <v>7.142558966360664E-4</v>
      </c>
      <c r="X1120" s="16">
        <v>1.9414240490282014E-3</v>
      </c>
    </row>
    <row r="1121" spans="1:24" x14ac:dyDescent="0.2">
      <c r="A1121" t="s">
        <v>14</v>
      </c>
      <c r="B1121" s="35" t="s">
        <v>19</v>
      </c>
      <c r="C1121" t="s">
        <v>47</v>
      </c>
      <c r="D1121" t="s">
        <v>125</v>
      </c>
      <c r="E1121" t="s">
        <v>125</v>
      </c>
      <c r="F1121" t="s">
        <v>125</v>
      </c>
      <c r="H1121" t="s">
        <v>1670</v>
      </c>
      <c r="I1121" t="s">
        <v>1671</v>
      </c>
      <c r="J1121" t="s">
        <v>1674</v>
      </c>
      <c r="K1121">
        <v>3</v>
      </c>
      <c r="L1121">
        <v>0</v>
      </c>
      <c r="M1121">
        <v>3</v>
      </c>
      <c r="N1121">
        <v>3</v>
      </c>
      <c r="O1121">
        <v>0</v>
      </c>
      <c r="P1121">
        <v>3</v>
      </c>
      <c r="Q1121">
        <f>N1121-K1121</f>
        <v>0</v>
      </c>
      <c r="R1121">
        <f>O1121-L1121</f>
        <v>0</v>
      </c>
      <c r="S1121">
        <f>P1121-M1121</f>
        <v>0</v>
      </c>
      <c r="T1121">
        <v>0</v>
      </c>
      <c r="U1121" s="14">
        <v>0</v>
      </c>
      <c r="V1121" s="14">
        <v>0</v>
      </c>
      <c r="W1121" s="16">
        <v>0</v>
      </c>
      <c r="X1121" s="16">
        <v>0</v>
      </c>
    </row>
    <row r="1122" spans="1:24" x14ac:dyDescent="0.2">
      <c r="A1122" t="s">
        <v>15</v>
      </c>
      <c r="B1122" t="s">
        <v>24</v>
      </c>
      <c r="C1122" t="s">
        <v>49</v>
      </c>
      <c r="D1122" t="s">
        <v>152</v>
      </c>
      <c r="E1122" t="s">
        <v>429</v>
      </c>
      <c r="F1122" s="10" t="s">
        <v>987</v>
      </c>
      <c r="G1122" s="10" t="s">
        <v>1719</v>
      </c>
      <c r="H1122" t="s">
        <v>1669</v>
      </c>
      <c r="I1122" t="s">
        <v>1671</v>
      </c>
      <c r="J1122" t="s">
        <v>1674</v>
      </c>
      <c r="K1122">
        <v>22</v>
      </c>
      <c r="L1122">
        <v>1</v>
      </c>
      <c r="M1122">
        <v>23</v>
      </c>
      <c r="N1122">
        <v>0</v>
      </c>
      <c r="O1122">
        <v>0</v>
      </c>
      <c r="P1122">
        <v>0</v>
      </c>
      <c r="Q1122">
        <f>N1122-K1122</f>
        <v>-22</v>
      </c>
      <c r="R1122">
        <f>O1122-L1122</f>
        <v>-1</v>
      </c>
      <c r="S1122">
        <f>P1122-M1122</f>
        <v>-23</v>
      </c>
      <c r="T1122">
        <v>37</v>
      </c>
      <c r="U1122" s="14">
        <v>119872.58000000002</v>
      </c>
      <c r="V1122" s="14">
        <v>216</v>
      </c>
      <c r="W1122" s="16">
        <v>3.8743871068510878E-4</v>
      </c>
      <c r="X1122" s="16">
        <v>3.9118245764001069E-4</v>
      </c>
    </row>
    <row r="1123" spans="1:24" x14ac:dyDescent="0.2">
      <c r="A1123" t="s">
        <v>17</v>
      </c>
      <c r="B1123" s="35" t="s">
        <v>19</v>
      </c>
      <c r="C1123" t="s">
        <v>42</v>
      </c>
      <c r="D1123" t="s">
        <v>113</v>
      </c>
      <c r="E1123" t="s">
        <v>451</v>
      </c>
      <c r="F1123" t="s">
        <v>1103</v>
      </c>
      <c r="H1123" t="s">
        <v>1670</v>
      </c>
      <c r="I1123" t="s">
        <v>1670</v>
      </c>
      <c r="J1123" t="s">
        <v>1674</v>
      </c>
      <c r="K1123">
        <v>3</v>
      </c>
      <c r="L1123">
        <v>0</v>
      </c>
      <c r="M1123">
        <v>3</v>
      </c>
      <c r="N1123">
        <v>3</v>
      </c>
      <c r="O1123">
        <v>0</v>
      </c>
      <c r="P1123">
        <v>3</v>
      </c>
      <c r="Q1123">
        <f>N1123-K1123</f>
        <v>0</v>
      </c>
      <c r="R1123">
        <f>O1123-L1123</f>
        <v>0</v>
      </c>
      <c r="S1123">
        <f>P1123-M1123</f>
        <v>0</v>
      </c>
      <c r="T1123">
        <v>0</v>
      </c>
      <c r="U1123" s="14">
        <v>0</v>
      </c>
      <c r="V1123" s="14">
        <v>0</v>
      </c>
      <c r="W1123" s="16">
        <v>0</v>
      </c>
      <c r="X1123" s="16">
        <v>0</v>
      </c>
    </row>
    <row r="1124" spans="1:24" x14ac:dyDescent="0.2">
      <c r="A1124" t="s">
        <v>12</v>
      </c>
      <c r="B1124" s="35" t="s">
        <v>19</v>
      </c>
      <c r="C1124" t="s">
        <v>27</v>
      </c>
      <c r="D1124" t="s">
        <v>66</v>
      </c>
      <c r="E1124" t="s">
        <v>250</v>
      </c>
      <c r="F1124" t="s">
        <v>250</v>
      </c>
      <c r="H1124" t="s">
        <v>1670</v>
      </c>
      <c r="I1124" t="s">
        <v>1670</v>
      </c>
      <c r="J1124" t="s">
        <v>1674</v>
      </c>
      <c r="K1124">
        <v>4</v>
      </c>
      <c r="L1124">
        <v>0</v>
      </c>
      <c r="M1124">
        <v>4</v>
      </c>
      <c r="N1124">
        <v>4</v>
      </c>
      <c r="O1124">
        <v>0</v>
      </c>
      <c r="P1124">
        <v>4</v>
      </c>
      <c r="Q1124">
        <f>N1124-K1124</f>
        <v>0</v>
      </c>
      <c r="R1124">
        <f>O1124-L1124</f>
        <v>0</v>
      </c>
      <c r="S1124">
        <f>P1124-M1124</f>
        <v>0</v>
      </c>
      <c r="T1124">
        <v>0</v>
      </c>
      <c r="U1124" s="14">
        <v>0</v>
      </c>
      <c r="V1124" s="14">
        <v>0</v>
      </c>
      <c r="W1124" s="16">
        <v>0</v>
      </c>
      <c r="X1124" s="16">
        <v>0</v>
      </c>
    </row>
    <row r="1125" spans="1:24" x14ac:dyDescent="0.2">
      <c r="A1125" t="s">
        <v>12</v>
      </c>
      <c r="B1125" t="s">
        <v>18</v>
      </c>
      <c r="C1125" t="s">
        <v>26</v>
      </c>
      <c r="D1125" t="s">
        <v>63</v>
      </c>
      <c r="E1125" t="s">
        <v>238</v>
      </c>
      <c r="F1125" t="s">
        <v>238</v>
      </c>
      <c r="H1125" t="s">
        <v>1669</v>
      </c>
      <c r="I1125" t="s">
        <v>1670</v>
      </c>
      <c r="J1125" t="s">
        <v>1674</v>
      </c>
      <c r="K1125">
        <v>39</v>
      </c>
      <c r="L1125">
        <v>0</v>
      </c>
      <c r="M1125">
        <v>39</v>
      </c>
      <c r="N1125">
        <v>10</v>
      </c>
      <c r="O1125">
        <v>0</v>
      </c>
      <c r="P1125">
        <v>10</v>
      </c>
      <c r="Q1125">
        <f>N1125-K1125</f>
        <v>-29</v>
      </c>
      <c r="R1125">
        <f>O1125-L1125</f>
        <v>0</v>
      </c>
      <c r="S1125">
        <f>P1125-M1125</f>
        <v>-29</v>
      </c>
      <c r="T1125">
        <v>0</v>
      </c>
      <c r="U1125" s="14">
        <v>0</v>
      </c>
      <c r="V1125" s="14">
        <v>0</v>
      </c>
      <c r="W1125" s="16">
        <v>0</v>
      </c>
      <c r="X1125" s="16">
        <v>0</v>
      </c>
    </row>
    <row r="1126" spans="1:24" x14ac:dyDescent="0.2">
      <c r="A1126" t="s">
        <v>14</v>
      </c>
      <c r="B1126" s="35" t="s">
        <v>19</v>
      </c>
      <c r="C1126" t="s">
        <v>34</v>
      </c>
      <c r="D1126" t="s">
        <v>115</v>
      </c>
      <c r="E1126" t="s">
        <v>359</v>
      </c>
      <c r="F1126" t="s">
        <v>865</v>
      </c>
      <c r="H1126" t="s">
        <v>1670</v>
      </c>
      <c r="I1126" t="s">
        <v>1670</v>
      </c>
      <c r="J1126" t="s">
        <v>1674</v>
      </c>
      <c r="K1126">
        <v>4</v>
      </c>
      <c r="L1126">
        <v>0</v>
      </c>
      <c r="M1126">
        <v>4</v>
      </c>
      <c r="N1126">
        <v>4</v>
      </c>
      <c r="O1126">
        <v>0</v>
      </c>
      <c r="P1126">
        <v>4</v>
      </c>
      <c r="Q1126">
        <f>N1126-K1126</f>
        <v>0</v>
      </c>
      <c r="R1126">
        <f>O1126-L1126</f>
        <v>0</v>
      </c>
      <c r="S1126">
        <f>P1126-M1126</f>
        <v>0</v>
      </c>
      <c r="T1126">
        <v>0</v>
      </c>
      <c r="U1126" s="14">
        <v>0</v>
      </c>
      <c r="V1126" s="14">
        <v>0</v>
      </c>
      <c r="W1126" s="16">
        <v>0</v>
      </c>
      <c r="X1126" s="16">
        <v>0</v>
      </c>
    </row>
    <row r="1127" spans="1:24" x14ac:dyDescent="0.2">
      <c r="A1127" t="s">
        <v>14</v>
      </c>
      <c r="B1127" s="35" t="s">
        <v>19</v>
      </c>
      <c r="C1127" t="s">
        <v>55</v>
      </c>
      <c r="D1127" t="s">
        <v>55</v>
      </c>
      <c r="E1127" t="s">
        <v>396</v>
      </c>
      <c r="F1127" t="s">
        <v>917</v>
      </c>
      <c r="H1127" t="s">
        <v>1670</v>
      </c>
      <c r="I1127" t="s">
        <v>1670</v>
      </c>
      <c r="J1127" t="s">
        <v>1674</v>
      </c>
      <c r="K1127">
        <v>4</v>
      </c>
      <c r="L1127">
        <v>0</v>
      </c>
      <c r="M1127">
        <v>4</v>
      </c>
      <c r="N1127">
        <v>4</v>
      </c>
      <c r="O1127">
        <v>0</v>
      </c>
      <c r="P1127">
        <v>4</v>
      </c>
      <c r="Q1127">
        <f>N1127-K1127</f>
        <v>0</v>
      </c>
      <c r="R1127">
        <f>O1127-L1127</f>
        <v>0</v>
      </c>
      <c r="S1127">
        <f>P1127-M1127</f>
        <v>0</v>
      </c>
      <c r="T1127">
        <v>0</v>
      </c>
      <c r="U1127" s="14">
        <v>0</v>
      </c>
      <c r="V1127" s="14">
        <v>0</v>
      </c>
      <c r="W1127" s="16">
        <v>0</v>
      </c>
      <c r="X1127" s="16">
        <v>0</v>
      </c>
    </row>
    <row r="1128" spans="1:24" x14ac:dyDescent="0.2">
      <c r="A1128" t="s">
        <v>17</v>
      </c>
      <c r="B1128" t="s">
        <v>24</v>
      </c>
      <c r="C1128" t="s">
        <v>49</v>
      </c>
      <c r="D1128" t="s">
        <v>152</v>
      </c>
      <c r="E1128" t="s">
        <v>482</v>
      </c>
      <c r="F1128" s="10" t="s">
        <v>1075</v>
      </c>
      <c r="G1128" s="10" t="s">
        <v>1719</v>
      </c>
      <c r="H1128" t="s">
        <v>1669</v>
      </c>
      <c r="I1128" t="s">
        <v>1671</v>
      </c>
      <c r="J1128" t="s">
        <v>1674</v>
      </c>
      <c r="K1128">
        <v>40</v>
      </c>
      <c r="L1128">
        <v>1</v>
      </c>
      <c r="M1128">
        <v>41</v>
      </c>
      <c r="N1128">
        <v>10</v>
      </c>
      <c r="O1128">
        <v>0</v>
      </c>
      <c r="P1128">
        <v>10</v>
      </c>
      <c r="Q1128">
        <f>N1128-K1128</f>
        <v>-30</v>
      </c>
      <c r="R1128">
        <f>O1128-L1128</f>
        <v>-1</v>
      </c>
      <c r="S1128">
        <f>P1128-M1128</f>
        <v>-31</v>
      </c>
      <c r="T1128">
        <v>128</v>
      </c>
      <c r="U1128" s="14">
        <v>537705.10000000021</v>
      </c>
      <c r="V1128" s="14">
        <v>680</v>
      </c>
      <c r="W1128" s="16">
        <v>1.7379101265093948E-3</v>
      </c>
      <c r="X1128" s="16">
        <v>1.2315003296074411E-3</v>
      </c>
    </row>
    <row r="1129" spans="1:24" x14ac:dyDescent="0.2">
      <c r="A1129" t="s">
        <v>13</v>
      </c>
      <c r="B1129" t="s">
        <v>20</v>
      </c>
      <c r="C1129" t="s">
        <v>33</v>
      </c>
      <c r="D1129" t="s">
        <v>87</v>
      </c>
      <c r="E1129" t="s">
        <v>296</v>
      </c>
      <c r="F1129" t="s">
        <v>760</v>
      </c>
      <c r="H1129" t="s">
        <v>1669</v>
      </c>
      <c r="I1129" t="s">
        <v>1670</v>
      </c>
      <c r="J1129" t="s">
        <v>1674</v>
      </c>
      <c r="K1129">
        <v>44</v>
      </c>
      <c r="L1129">
        <v>0</v>
      </c>
      <c r="M1129">
        <v>44</v>
      </c>
      <c r="N1129">
        <v>10</v>
      </c>
      <c r="O1129">
        <v>0</v>
      </c>
      <c r="P1129">
        <v>10</v>
      </c>
      <c r="Q1129">
        <f>N1129-K1129</f>
        <v>-34</v>
      </c>
      <c r="R1129">
        <f>O1129-L1129</f>
        <v>0</v>
      </c>
      <c r="S1129">
        <f>P1129-M1129</f>
        <v>-34</v>
      </c>
      <c r="T1129">
        <v>2</v>
      </c>
      <c r="U1129" s="14">
        <v>93806</v>
      </c>
      <c r="V1129" s="14">
        <v>8</v>
      </c>
      <c r="W1129" s="16">
        <v>3.0318923388924569E-4</v>
      </c>
      <c r="X1129" s="16">
        <v>1.4488239171852249E-5</v>
      </c>
    </row>
    <row r="1130" spans="1:24" x14ac:dyDescent="0.2">
      <c r="A1130" t="s">
        <v>16</v>
      </c>
      <c r="B1130" t="s">
        <v>22</v>
      </c>
      <c r="C1130" t="s">
        <v>39</v>
      </c>
      <c r="D1130" t="s">
        <v>157</v>
      </c>
      <c r="E1130" t="s">
        <v>441</v>
      </c>
      <c r="F1130" t="s">
        <v>1007</v>
      </c>
      <c r="H1130" t="s">
        <v>1670</v>
      </c>
      <c r="I1130" t="s">
        <v>1670</v>
      </c>
      <c r="J1130" t="s">
        <v>1674</v>
      </c>
      <c r="K1130">
        <v>7</v>
      </c>
      <c r="L1130">
        <v>0</v>
      </c>
      <c r="M1130">
        <v>7</v>
      </c>
      <c r="N1130">
        <v>2</v>
      </c>
      <c r="O1130">
        <v>0</v>
      </c>
      <c r="P1130">
        <v>2</v>
      </c>
      <c r="Q1130">
        <f>N1130-K1130</f>
        <v>-5</v>
      </c>
      <c r="R1130">
        <f>O1130-L1130</f>
        <v>0</v>
      </c>
      <c r="S1130">
        <f>P1130-M1130</f>
        <v>-5</v>
      </c>
      <c r="T1130">
        <v>0</v>
      </c>
      <c r="U1130" s="14">
        <v>0</v>
      </c>
      <c r="V1130" s="14">
        <v>0</v>
      </c>
      <c r="W1130" s="16">
        <v>0</v>
      </c>
      <c r="X1130" s="16">
        <v>0</v>
      </c>
    </row>
    <row r="1131" spans="1:24" x14ac:dyDescent="0.2">
      <c r="A1131" t="s">
        <v>14</v>
      </c>
      <c r="B1131" s="35" t="s">
        <v>19</v>
      </c>
      <c r="C1131" t="s">
        <v>47</v>
      </c>
      <c r="D1131" t="s">
        <v>123</v>
      </c>
      <c r="E1131" t="s">
        <v>367</v>
      </c>
      <c r="F1131" t="s">
        <v>877</v>
      </c>
      <c r="H1131" t="s">
        <v>1670</v>
      </c>
      <c r="I1131" t="s">
        <v>1670</v>
      </c>
      <c r="J1131" t="s">
        <v>1674</v>
      </c>
      <c r="K1131">
        <v>9</v>
      </c>
      <c r="L1131">
        <v>0</v>
      </c>
      <c r="M1131">
        <v>9</v>
      </c>
      <c r="N1131">
        <v>9</v>
      </c>
      <c r="O1131">
        <v>0</v>
      </c>
      <c r="P1131">
        <v>9</v>
      </c>
      <c r="Q1131">
        <f>N1131-K1131</f>
        <v>0</v>
      </c>
      <c r="R1131">
        <f>O1131-L1131</f>
        <v>0</v>
      </c>
      <c r="S1131">
        <f>P1131-M1131</f>
        <v>0</v>
      </c>
      <c r="T1131">
        <v>0</v>
      </c>
      <c r="U1131" s="14">
        <v>0</v>
      </c>
      <c r="V1131" s="14">
        <v>0</v>
      </c>
      <c r="W1131" s="16">
        <v>0</v>
      </c>
      <c r="X1131" s="16">
        <v>0</v>
      </c>
    </row>
    <row r="1132" spans="1:24" x14ac:dyDescent="0.2">
      <c r="A1132" t="s">
        <v>15</v>
      </c>
      <c r="B1132" t="s">
        <v>24</v>
      </c>
      <c r="C1132" t="s">
        <v>58</v>
      </c>
      <c r="D1132" t="s">
        <v>148</v>
      </c>
      <c r="E1132" t="s">
        <v>405</v>
      </c>
      <c r="F1132" t="s">
        <v>927</v>
      </c>
      <c r="H1132" t="s">
        <v>1669</v>
      </c>
      <c r="I1132" t="s">
        <v>1671</v>
      </c>
      <c r="J1132" t="s">
        <v>1674</v>
      </c>
      <c r="K1132">
        <v>58</v>
      </c>
      <c r="L1132">
        <v>0</v>
      </c>
      <c r="M1132">
        <v>58</v>
      </c>
      <c r="N1132">
        <v>15</v>
      </c>
      <c r="O1132">
        <v>0</v>
      </c>
      <c r="P1132">
        <v>15</v>
      </c>
      <c r="Q1132">
        <f>N1132-K1132</f>
        <v>-43</v>
      </c>
      <c r="R1132">
        <f>O1132-L1132</f>
        <v>0</v>
      </c>
      <c r="S1132">
        <f>P1132-M1132</f>
        <v>-43</v>
      </c>
      <c r="T1132">
        <v>21</v>
      </c>
      <c r="U1132" s="14">
        <v>78283.13</v>
      </c>
      <c r="V1132" s="14">
        <v>97</v>
      </c>
      <c r="W1132" s="16">
        <v>2.5301795419431831E-4</v>
      </c>
      <c r="X1132" s="16">
        <v>1.7566989995870851E-4</v>
      </c>
    </row>
    <row r="1133" spans="1:24" x14ac:dyDescent="0.2">
      <c r="A1133" t="s">
        <v>14</v>
      </c>
      <c r="B1133" s="35" t="s">
        <v>19</v>
      </c>
      <c r="C1133" t="s">
        <v>42</v>
      </c>
      <c r="D1133" t="s">
        <v>110</v>
      </c>
      <c r="E1133" t="s">
        <v>351</v>
      </c>
      <c r="F1133" t="s">
        <v>857</v>
      </c>
      <c r="H1133" t="s">
        <v>1670</v>
      </c>
      <c r="I1133" t="s">
        <v>1670</v>
      </c>
      <c r="J1133" t="s">
        <v>1674</v>
      </c>
      <c r="K1133">
        <v>14</v>
      </c>
      <c r="L1133">
        <v>0</v>
      </c>
      <c r="M1133">
        <v>14</v>
      </c>
      <c r="N1133">
        <v>14</v>
      </c>
      <c r="O1133">
        <v>0</v>
      </c>
      <c r="P1133">
        <v>14</v>
      </c>
      <c r="Q1133">
        <f>N1133-K1133</f>
        <v>0</v>
      </c>
      <c r="R1133">
        <f>O1133-L1133</f>
        <v>0</v>
      </c>
      <c r="S1133">
        <f>P1133-M1133</f>
        <v>0</v>
      </c>
      <c r="T1133">
        <v>0</v>
      </c>
      <c r="U1133" s="14">
        <v>0</v>
      </c>
      <c r="V1133" s="14">
        <v>0</v>
      </c>
      <c r="W1133" s="16">
        <v>0</v>
      </c>
      <c r="X1133" s="16">
        <v>0</v>
      </c>
    </row>
    <row r="1134" spans="1:24" x14ac:dyDescent="0.2">
      <c r="A1134" t="s">
        <v>14</v>
      </c>
      <c r="B1134" s="35" t="s">
        <v>19</v>
      </c>
      <c r="C1134" t="s">
        <v>44</v>
      </c>
      <c r="D1134" t="s">
        <v>118</v>
      </c>
      <c r="E1134" t="s">
        <v>361</v>
      </c>
      <c r="F1134" t="s">
        <v>869</v>
      </c>
      <c r="H1134" t="s">
        <v>1670</v>
      </c>
      <c r="I1134" t="s">
        <v>1671</v>
      </c>
      <c r="J1134" t="s">
        <v>1674</v>
      </c>
      <c r="K1134">
        <v>29</v>
      </c>
      <c r="L1134">
        <v>0</v>
      </c>
      <c r="M1134">
        <v>29</v>
      </c>
      <c r="N1134">
        <v>29</v>
      </c>
      <c r="O1134">
        <v>0</v>
      </c>
      <c r="P1134">
        <v>29</v>
      </c>
      <c r="Q1134">
        <f>N1134-K1134</f>
        <v>0</v>
      </c>
      <c r="R1134">
        <f>O1134-L1134</f>
        <v>0</v>
      </c>
      <c r="S1134">
        <f>P1134-M1134</f>
        <v>0</v>
      </c>
      <c r="T1134">
        <v>0</v>
      </c>
      <c r="U1134" s="14">
        <v>0</v>
      </c>
      <c r="V1134" s="14">
        <v>0</v>
      </c>
      <c r="W1134" s="16">
        <v>0</v>
      </c>
      <c r="X1134" s="16">
        <v>0</v>
      </c>
    </row>
    <row r="1135" spans="1:24" x14ac:dyDescent="0.2">
      <c r="A1135" t="s">
        <v>15</v>
      </c>
      <c r="B1135" t="s">
        <v>24</v>
      </c>
      <c r="C1135" t="s">
        <v>58</v>
      </c>
      <c r="D1135" t="s">
        <v>149</v>
      </c>
      <c r="E1135" t="s">
        <v>422</v>
      </c>
      <c r="F1135" s="10" t="s">
        <v>422</v>
      </c>
      <c r="G1135" s="10" t="s">
        <v>1719</v>
      </c>
      <c r="H1135" t="s">
        <v>1669</v>
      </c>
      <c r="I1135" t="s">
        <v>1670</v>
      </c>
      <c r="J1135" t="s">
        <v>1674</v>
      </c>
      <c r="K1135">
        <v>51</v>
      </c>
      <c r="L1135">
        <v>0</v>
      </c>
      <c r="M1135">
        <v>51</v>
      </c>
      <c r="N1135">
        <v>0</v>
      </c>
      <c r="O1135">
        <v>0</v>
      </c>
      <c r="P1135">
        <v>0</v>
      </c>
      <c r="Q1135">
        <f>N1135-K1135</f>
        <v>-51</v>
      </c>
      <c r="R1135">
        <f>O1135-L1135</f>
        <v>0</v>
      </c>
      <c r="S1135">
        <f>P1135-M1135</f>
        <v>-51</v>
      </c>
      <c r="T1135">
        <v>198</v>
      </c>
      <c r="U1135" s="14">
        <v>442709.53000000009</v>
      </c>
      <c r="V1135" s="14">
        <v>868</v>
      </c>
      <c r="W1135" s="16">
        <v>1.4308760978633355E-3</v>
      </c>
      <c r="X1135" s="16">
        <v>1.571973950145969E-3</v>
      </c>
    </row>
  </sheetData>
  <autoFilter ref="A1:X1135" xr:uid="{00000000-0001-0000-0000-000000000000}"/>
  <sortState xmlns:xlrd2="http://schemas.microsoft.com/office/spreadsheetml/2017/richdata2" ref="A2:S1135">
    <sortCondition descending="1" ref="S2:S1135"/>
  </sortState>
  <conditionalFormatting sqref="F1136:G1048576 F1:G1115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Эталоны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HQ-GQMXGYL7K3</cp:lastModifiedBy>
  <dcterms:created xsi:type="dcterms:W3CDTF">2026-07-27T14:55:45Z</dcterms:created>
  <dcterms:modified xsi:type="dcterms:W3CDTF">2026-08-05T09:15:09Z</dcterms:modified>
</cp:coreProperties>
</file>